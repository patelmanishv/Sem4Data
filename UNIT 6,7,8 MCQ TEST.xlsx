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defaultThemeVersion="124226"/>
  <mc:AlternateContent xmlns:mc="http://schemas.openxmlformats.org/markup-compatibility/2006">
    <mc:Choice Requires="x15">
      <x15ac:absPath xmlns:x15ac="http://schemas.microsoft.com/office/spreadsheetml/2010/11/ac" url="C:\Users\Lenovo\Desktop\"/>
    </mc:Choice>
  </mc:AlternateContent>
  <xr:revisionPtr revIDLastSave="0" documentId="13_ncr:1_{8BEAB6EA-C03C-45AE-96B6-20231E473E7D}" xr6:coauthVersionLast="47" xr6:coauthVersionMax="47" xr10:uidLastSave="{00000000-0000-0000-0000-000000000000}"/>
  <workbookProtection workbookAlgorithmName="SHA-512" workbookHashValue="VF15ZIApFtcnM1jnKCPELE9euvHpGFX25m2rz+9VHGOmkQC1TosfkRwZVefepupazptYq1eHtuUfk8z7FcOzSQ==" workbookSaltValue="cr91CVhO64UiVVjDrjtr3g==" workbookSpinCount="100000" lockStructure="1"/>
  <bookViews>
    <workbookView xWindow="-108" yWindow="-108" windowWidth="23256" windowHeight="12456" xr2:uid="{00000000-000D-0000-FFFF-FFFF00000000}"/>
  </bookViews>
  <sheets>
    <sheet name="MCQ TEST SHEET" sheetId="1" r:id="rId1"/>
    <sheet name="After Exam Data Entry" sheetId="3" state="hidden" r:id="rId2"/>
    <sheet name="Marks Sheet" sheetId="2" r:id="rId3"/>
  </sheets>
  <definedNames>
    <definedName name="Options">'Marks Sheet'!$M$6:$M$9</definedName>
    <definedName name="_xlnm.Print_Area" localSheetId="2">'Marks Sheet'!$A$2:$I$84</definedName>
    <definedName name="_xlnm.Print_Area" localSheetId="0">'MCQ TEST SHEET'!$A$1:$G$38</definedName>
    <definedName name="_xlnm.Print_Titles" localSheetId="2">'Marks Sheet'!$5:$5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9" i="2" l="1"/>
  <c r="F80" i="2"/>
  <c r="E80" i="2"/>
  <c r="D80" i="2"/>
  <c r="C80" i="2"/>
  <c r="F79" i="2"/>
  <c r="C79" i="2"/>
  <c r="D79" i="2" s="1"/>
  <c r="F78" i="2"/>
  <c r="G78" i="2" s="1"/>
  <c r="E78" i="2"/>
  <c r="C78" i="2"/>
  <c r="D78" i="2" s="1"/>
  <c r="F77" i="2"/>
  <c r="E77" i="2"/>
  <c r="G77" i="2" s="1"/>
  <c r="C77" i="2"/>
  <c r="D77" i="2" s="1"/>
  <c r="F76" i="2"/>
  <c r="E76" i="2"/>
  <c r="D76" i="2"/>
  <c r="C76" i="2"/>
  <c r="F75" i="2"/>
  <c r="E75" i="2"/>
  <c r="C75" i="2"/>
  <c r="D75" i="2" s="1"/>
  <c r="F74" i="2"/>
  <c r="E74" i="2"/>
  <c r="C74" i="2"/>
  <c r="D74" i="2" s="1"/>
  <c r="F73" i="2"/>
  <c r="E73" i="2"/>
  <c r="C73" i="2"/>
  <c r="D73" i="2" s="1"/>
  <c r="G73" i="2" s="1"/>
  <c r="F72" i="2"/>
  <c r="E72" i="2"/>
  <c r="D72" i="2"/>
  <c r="C72" i="2"/>
  <c r="F71" i="2"/>
  <c r="E71" i="2"/>
  <c r="C71" i="2"/>
  <c r="D71" i="2" s="1"/>
  <c r="F70" i="2"/>
  <c r="E70" i="2"/>
  <c r="C70" i="2"/>
  <c r="D70" i="2" s="1"/>
  <c r="F69" i="2"/>
  <c r="E69" i="2"/>
  <c r="G69" i="2" s="1"/>
  <c r="C69" i="2"/>
  <c r="D69" i="2" s="1"/>
  <c r="F68" i="2"/>
  <c r="E68" i="2"/>
  <c r="D68" i="2"/>
  <c r="C68" i="2"/>
  <c r="F67" i="2"/>
  <c r="E67" i="2"/>
  <c r="C67" i="2"/>
  <c r="D67" i="2" s="1"/>
  <c r="F66" i="2"/>
  <c r="E66" i="2"/>
  <c r="C66" i="2"/>
  <c r="D66" i="2" s="1"/>
  <c r="F65" i="2"/>
  <c r="E65" i="2"/>
  <c r="C65" i="2"/>
  <c r="D65" i="2" s="1"/>
  <c r="G65" i="2" s="1"/>
  <c r="F64" i="2"/>
  <c r="E64" i="2"/>
  <c r="D64" i="2"/>
  <c r="C64" i="2"/>
  <c r="F63" i="2"/>
  <c r="E63" i="2"/>
  <c r="C63" i="2"/>
  <c r="D63" i="2" s="1"/>
  <c r="F62" i="2"/>
  <c r="E62" i="2"/>
  <c r="C62" i="2"/>
  <c r="D62" i="2" s="1"/>
  <c r="F61" i="2"/>
  <c r="E61" i="2"/>
  <c r="G61" i="2" s="1"/>
  <c r="C61" i="2"/>
  <c r="D61" i="2" s="1"/>
  <c r="F60" i="2"/>
  <c r="G60" i="2" s="1"/>
  <c r="E60" i="2"/>
  <c r="D60" i="2"/>
  <c r="C60" i="2"/>
  <c r="F59" i="2"/>
  <c r="E59" i="2"/>
  <c r="C59" i="2"/>
  <c r="D59" i="2" s="1"/>
  <c r="F58" i="2"/>
  <c r="E58" i="2"/>
  <c r="C58" i="2"/>
  <c r="D58" i="2" s="1"/>
  <c r="F57" i="2"/>
  <c r="E57" i="2"/>
  <c r="D57" i="2"/>
  <c r="C57" i="2"/>
  <c r="F56" i="2"/>
  <c r="E56" i="2"/>
  <c r="D56" i="2"/>
  <c r="C56" i="2"/>
  <c r="F55" i="2"/>
  <c r="E55" i="2"/>
  <c r="C55" i="2"/>
  <c r="D55" i="2" s="1"/>
  <c r="F54" i="2"/>
  <c r="E54" i="2"/>
  <c r="C54" i="2"/>
  <c r="D54" i="2" s="1"/>
  <c r="F53" i="2"/>
  <c r="E53" i="2"/>
  <c r="D53" i="2"/>
  <c r="C53" i="2"/>
  <c r="F52" i="2"/>
  <c r="E52" i="2"/>
  <c r="D52" i="2"/>
  <c r="C52" i="2"/>
  <c r="F51" i="2"/>
  <c r="E51" i="2"/>
  <c r="C51" i="2"/>
  <c r="D51" i="2" s="1"/>
  <c r="F50" i="2"/>
  <c r="G50" i="2" s="1"/>
  <c r="E50" i="2"/>
  <c r="C50" i="2"/>
  <c r="D50" i="2" s="1"/>
  <c r="F49" i="2"/>
  <c r="E49" i="2"/>
  <c r="D49" i="2"/>
  <c r="C49" i="2"/>
  <c r="F48" i="2"/>
  <c r="E48" i="2"/>
  <c r="D48" i="2"/>
  <c r="C48" i="2"/>
  <c r="F47" i="2"/>
  <c r="E47" i="2"/>
  <c r="C47" i="2"/>
  <c r="D47" i="2" s="1"/>
  <c r="F46" i="2"/>
  <c r="G46" i="2" s="1"/>
  <c r="E46" i="2"/>
  <c r="C46" i="2"/>
  <c r="D46" i="2" s="1"/>
  <c r="F45" i="2"/>
  <c r="E45" i="2"/>
  <c r="D45" i="2"/>
  <c r="C45" i="2"/>
  <c r="F44" i="2"/>
  <c r="E44" i="2"/>
  <c r="D44" i="2"/>
  <c r="C44" i="2"/>
  <c r="F43" i="2"/>
  <c r="E43" i="2"/>
  <c r="C43" i="2"/>
  <c r="D43" i="2" s="1"/>
  <c r="F42" i="2"/>
  <c r="G42" i="2" s="1"/>
  <c r="E42" i="2"/>
  <c r="C42" i="2"/>
  <c r="D42" i="2" s="1"/>
  <c r="F41" i="2"/>
  <c r="E41" i="2"/>
  <c r="D41" i="2"/>
  <c r="C41" i="2"/>
  <c r="F40" i="2"/>
  <c r="E40" i="2"/>
  <c r="D40" i="2"/>
  <c r="C40" i="2"/>
  <c r="F39" i="2"/>
  <c r="E39" i="2"/>
  <c r="C39" i="2"/>
  <c r="D39" i="2" s="1"/>
  <c r="F38" i="2"/>
  <c r="G38" i="2" s="1"/>
  <c r="E38" i="2"/>
  <c r="C38" i="2"/>
  <c r="D38" i="2" s="1"/>
  <c r="F37" i="2"/>
  <c r="E37" i="2"/>
  <c r="D37" i="2"/>
  <c r="C37" i="2"/>
  <c r="G37" i="2" s="1"/>
  <c r="F36" i="2"/>
  <c r="E36" i="2"/>
  <c r="D36" i="2"/>
  <c r="C36" i="2"/>
  <c r="F35" i="2"/>
  <c r="E35" i="2"/>
  <c r="C35" i="2"/>
  <c r="D35" i="2" s="1"/>
  <c r="F34" i="2"/>
  <c r="G34" i="2" s="1"/>
  <c r="E34" i="2"/>
  <c r="C34" i="2"/>
  <c r="D34" i="2" s="1"/>
  <c r="F33" i="2"/>
  <c r="E33" i="2"/>
  <c r="D33" i="2"/>
  <c r="C33" i="2"/>
  <c r="F32" i="2"/>
  <c r="E32" i="2"/>
  <c r="D32" i="2"/>
  <c r="C32" i="2"/>
  <c r="F31" i="2"/>
  <c r="E31" i="2"/>
  <c r="C31" i="2"/>
  <c r="D31" i="2" s="1"/>
  <c r="F30" i="2"/>
  <c r="G30" i="2" s="1"/>
  <c r="E30" i="2"/>
  <c r="C30" i="2"/>
  <c r="D30" i="2" s="1"/>
  <c r="F29" i="2"/>
  <c r="E29" i="2"/>
  <c r="D29" i="2"/>
  <c r="C29" i="2"/>
  <c r="G29" i="2" s="1"/>
  <c r="F28" i="2"/>
  <c r="E28" i="2"/>
  <c r="D28" i="2"/>
  <c r="C28" i="2"/>
  <c r="F27" i="2"/>
  <c r="E27" i="2"/>
  <c r="C27" i="2"/>
  <c r="D27" i="2" s="1"/>
  <c r="F26" i="2"/>
  <c r="G26" i="2" s="1"/>
  <c r="E26" i="2"/>
  <c r="C26" i="2"/>
  <c r="D26" i="2" s="1"/>
  <c r="F25" i="2"/>
  <c r="E25" i="2"/>
  <c r="D25" i="2"/>
  <c r="C25" i="2"/>
  <c r="F24" i="2"/>
  <c r="E24" i="2"/>
  <c r="D24" i="2"/>
  <c r="C24" i="2"/>
  <c r="F23" i="2"/>
  <c r="E23" i="2"/>
  <c r="C23" i="2"/>
  <c r="D23" i="2" s="1"/>
  <c r="F22" i="2"/>
  <c r="G22" i="2" s="1"/>
  <c r="E22" i="2"/>
  <c r="C22" i="2"/>
  <c r="D22" i="2" s="1"/>
  <c r="F21" i="2"/>
  <c r="E21" i="2"/>
  <c r="D21" i="2"/>
  <c r="C21" i="2"/>
  <c r="F20" i="2"/>
  <c r="E20" i="2"/>
  <c r="D20" i="2"/>
  <c r="C20" i="2"/>
  <c r="F19" i="2"/>
  <c r="E19" i="2"/>
  <c r="C19" i="2"/>
  <c r="D19" i="2" s="1"/>
  <c r="F18" i="2"/>
  <c r="G18" i="2" s="1"/>
  <c r="E18" i="2"/>
  <c r="C18" i="2"/>
  <c r="D18" i="2" s="1"/>
  <c r="F17" i="2"/>
  <c r="E17" i="2"/>
  <c r="D17" i="2"/>
  <c r="C17" i="2"/>
  <c r="F16" i="2"/>
  <c r="E16" i="2"/>
  <c r="D16" i="2"/>
  <c r="C16" i="2"/>
  <c r="F15" i="2"/>
  <c r="E15" i="2"/>
  <c r="C15" i="2"/>
  <c r="D15" i="2" s="1"/>
  <c r="F14" i="2"/>
  <c r="G14" i="2" s="1"/>
  <c r="E14" i="2"/>
  <c r="C14" i="2"/>
  <c r="D14" i="2" s="1"/>
  <c r="F13" i="2"/>
  <c r="E13" i="2"/>
  <c r="D13" i="2"/>
  <c r="C13" i="2"/>
  <c r="G13" i="2" s="1"/>
  <c r="F12" i="2"/>
  <c r="E12" i="2"/>
  <c r="D12" i="2"/>
  <c r="C12" i="2"/>
  <c r="F11" i="2"/>
  <c r="E11" i="2"/>
  <c r="C11" i="2"/>
  <c r="D11" i="2" s="1"/>
  <c r="F10" i="2"/>
  <c r="G10" i="2" s="1"/>
  <c r="E10" i="2"/>
  <c r="C10" i="2"/>
  <c r="D10" i="2" s="1"/>
  <c r="F9" i="2"/>
  <c r="E9" i="2"/>
  <c r="D9" i="2"/>
  <c r="C9" i="2"/>
  <c r="F8" i="2"/>
  <c r="E8" i="2"/>
  <c r="D8" i="2"/>
  <c r="C8" i="2"/>
  <c r="F7" i="2"/>
  <c r="E7" i="2"/>
  <c r="C7" i="2"/>
  <c r="D7" i="2" s="1"/>
  <c r="G21" i="2" l="1"/>
  <c r="G45" i="2"/>
  <c r="G53" i="2"/>
  <c r="G64" i="2"/>
  <c r="G70" i="2"/>
  <c r="G76" i="2"/>
  <c r="G25" i="2"/>
  <c r="G33" i="2"/>
  <c r="G54" i="2"/>
  <c r="G57" i="2"/>
  <c r="G62" i="2"/>
  <c r="G68" i="2"/>
  <c r="G80" i="2"/>
  <c r="G9" i="2"/>
  <c r="G17" i="2"/>
  <c r="G41" i="2"/>
  <c r="G49" i="2"/>
  <c r="G59" i="2"/>
  <c r="G67" i="2"/>
  <c r="G75" i="2"/>
  <c r="C82" i="2"/>
  <c r="G7" i="2"/>
  <c r="G8" i="2"/>
  <c r="G11" i="2"/>
  <c r="G12" i="2"/>
  <c r="G15" i="2"/>
  <c r="G16" i="2"/>
  <c r="G19" i="2"/>
  <c r="G20" i="2"/>
  <c r="G23" i="2"/>
  <c r="G24" i="2"/>
  <c r="G27" i="2"/>
  <c r="G28" i="2"/>
  <c r="G31" i="2"/>
  <c r="G32" i="2"/>
  <c r="G35" i="2"/>
  <c r="G36" i="2"/>
  <c r="G39" i="2"/>
  <c r="G40" i="2"/>
  <c r="G43" i="2"/>
  <c r="G44" i="2"/>
  <c r="G47" i="2"/>
  <c r="G48" i="2"/>
  <c r="G51" i="2"/>
  <c r="G52" i="2"/>
  <c r="G55" i="2"/>
  <c r="G56" i="2"/>
  <c r="G58" i="2"/>
  <c r="G66" i="2"/>
  <c r="G74" i="2"/>
  <c r="G63" i="2"/>
  <c r="G71" i="2"/>
  <c r="G72" i="2"/>
  <c r="G79" i="2"/>
  <c r="C6" i="2"/>
  <c r="F6" i="2"/>
  <c r="D6" i="2" l="1"/>
  <c r="E6" i="2"/>
  <c r="G6" i="2" s="1"/>
  <c r="G82" i="2" s="1"/>
  <c r="G83" i="2" s="1"/>
  <c r="C83" i="2" s="1"/>
  <c r="C85" i="2" l="1"/>
  <c r="D8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Tabinda</author>
  </authors>
  <commentList>
    <comment ref="C6" authorId="0" shapeId="0" xr:uid="{00000000-0006-0000-0100-000001000000}">
      <text>
        <r>
          <rPr>
            <b/>
            <sz val="12"/>
            <color indexed="81"/>
            <rFont val="Tahoma"/>
            <family val="2"/>
          </rPr>
          <t>Leave it blank in case test is without negative marking system.</t>
        </r>
      </text>
    </comment>
  </commentList>
</comments>
</file>

<file path=xl/sharedStrings.xml><?xml version="1.0" encoding="utf-8"?>
<sst xmlns="http://schemas.openxmlformats.org/spreadsheetml/2006/main" count="470" uniqueCount="370">
  <si>
    <t>A</t>
  </si>
  <si>
    <t>B</t>
  </si>
  <si>
    <t>C</t>
  </si>
  <si>
    <t>D</t>
  </si>
  <si>
    <t>Question Number</t>
  </si>
  <si>
    <t>Answer by student</t>
  </si>
  <si>
    <t>Correct Answer</t>
  </si>
  <si>
    <t>Class</t>
  </si>
  <si>
    <t>Div</t>
  </si>
  <si>
    <t>Sub</t>
  </si>
  <si>
    <t>Exam</t>
  </si>
  <si>
    <t>Marks Obtained</t>
  </si>
  <si>
    <t>Marks assigned to this question</t>
  </si>
  <si>
    <t>TOTAL</t>
  </si>
  <si>
    <t>T. Marks</t>
  </si>
  <si>
    <t>Result</t>
  </si>
  <si>
    <t>% Obtained</t>
  </si>
  <si>
    <t>Grade Obtained</t>
  </si>
  <si>
    <t>Negative Marking</t>
  </si>
  <si>
    <t>Marks assigned to the question</t>
  </si>
  <si>
    <t>MCQ Test Mark Sheet</t>
  </si>
  <si>
    <t>Q. No.</t>
  </si>
  <si>
    <t>Enter all relevant data here only after you finish the examination.</t>
  </si>
  <si>
    <t>www.ExcelDataPro.com</t>
  </si>
  <si>
    <t>MCQ Test Sheet</t>
  </si>
  <si>
    <t>QUIZ</t>
  </si>
  <si>
    <t>Sr</t>
  </si>
  <si>
    <t>QUESTIONS</t>
  </si>
  <si>
    <t>Your Answer</t>
  </si>
  <si>
    <t>UNIT</t>
  </si>
  <si>
    <t>YEAR</t>
  </si>
  <si>
    <t>PREPARED BY - PROF MANISH PATEL</t>
  </si>
  <si>
    <t>A5/A9</t>
  </si>
  <si>
    <t>PYTHON-2</t>
  </si>
  <si>
    <t>SEM IV</t>
  </si>
  <si>
    <t>6,7,8</t>
  </si>
  <si>
    <t>PYTHON UNIT 6,7,8 MCQ TEST</t>
  </si>
  <si>
    <t>Which option/s is/are  a possible output of following code?
import random
SEL=random. randint (1, 3)
ANIMAL = ["DEER", "Monkey", "COW", "Kangaroo"]
for A in ANIMAL:
    for AA in range (0, SEL):
        print (A, end ="")
    print ()</t>
  </si>
  <si>
    <t>Which option/s is/are  a possible output of following code?
import random
PICK=random.randint (1,3)
CITY= ["DELHI", "MUMBAI", "CHENNAI", "KOLKATA"]
for I in CITY:
    for J in range (0, PICK):
        print (I, end = "")
    print ()</t>
  </si>
  <si>
    <t>Which option is not a possible output of following code?
import random
def main():
    p = "MY PROGRAM"
    i = 0
    while p[i] != "R":
        l = random.randint(0,3) + 5
        print (p[l],end ="_")
        i += 1
main()</t>
  </si>
  <si>
    <t>Which option is not a possible output of following code?
x = 3
N = random.randint (1, x)
for i in range (N):
    print (i, "#", i + 1)</t>
  </si>
  <si>
    <t>Which option/s is/are  a possible output of following code?
import random
movie_list = ['The Jungle Book', 'Finding Nemo', 'Harry Potter', 'The Incredibles', 'Frozen']
movie1 = random.choice(movie_list)
movie2 = random.choice(movie_list)
print ( movie1 ," or " ,movie2)</t>
  </si>
  <si>
    <t>Which option/s is/are  a possible output of following code?
import random
color_list = ["Pink", "Red", "Sky blue", "Yellow", "Green"]
random.shuffle(color_list)
print ( color_list )</t>
  </si>
  <si>
    <t>Which option/s is/are  not a possible output of following code?
import random
list=[14, 62, 30, 57, 91]
str= ('Simply')
print ( random.choice(list),"and" , random.choice(str) )</t>
  </si>
  <si>
    <t>Which option/s is/are  a possible output of following code?
import random
N=3
PICKER = random.randint (1, N)
COLOR = ["BLUE", "PINK", "GREEN", "RED"]
for I in COLOR :
    for J in range (0, PICKER):
        print (I, end = " ")
    print ()</t>
  </si>
  <si>
    <t>Which option/s is/are  a possible output of following code?
import random
n1= random.randrange(1, 10, 2)
n2= random.randrange(1, 10, 3)
print (n1,"and",n2)</t>
  </si>
  <si>
    <t>To include the use of functions which are present in the random library, we must use the option:</t>
  </si>
  <si>
    <t xml:space="preserve"> What will be the output of the following Python code?
import random
random.choice(2,3,4)</t>
  </si>
  <si>
    <t xml:space="preserve"> What will be the output of the following Python code?
import random
random.choice([10.4, 56.99, 76])</t>
  </si>
  <si>
    <t>What will be the output of the following Python function (random module has already been imported)?
random.choice('sun')</t>
  </si>
  <si>
    <t>What will be the output of the following Python function if the random module has already been imported?
random.randint(3.5,7)</t>
  </si>
  <si>
    <t>Which of the following functions helps us to randomize the items of a list?</t>
  </si>
  <si>
    <t xml:space="preserve"> What will be the output of the following Python function, assuming that the random library has already been included?
random.shuffle[1,2,24]</t>
  </si>
  <si>
    <t>What does random.seed(3) return?</t>
  </si>
  <si>
    <t>Which is the only one of the following values the function random.randint(4) can return?</t>
  </si>
  <si>
    <t> Which of the following will not be returned by random.choice(“1 ,”)?</t>
  </si>
  <si>
    <t>Which of the following will never be displayed on executing print(random.choice({0: 1, 2: 3})) initially ?</t>
  </si>
  <si>
    <t>What does random.shuffle(x) do when x = [1, 2, 3]?</t>
  </si>
  <si>
    <t>Which type of elements are accepted by random.shuffle()?</t>
  </si>
  <si>
    <t>What is the range of values that random.random() can return?</t>
  </si>
  <si>
    <t xml:space="preserve">In SimpleGUICS2Pygame, how many event handlers can be running at the same time?
</t>
  </si>
  <si>
    <t>Which one is not a part of a frame?</t>
  </si>
  <si>
    <t xml:space="preserve">Which of the following are valid calls to create_frame?
</t>
  </si>
  <si>
    <t xml:space="preserve">Which of the following are valid ways of making a canvas with a red background?
</t>
  </si>
  <si>
    <t>In the following code, what does the number 100 represent?
my_button = frame.add_button("My Label", button_handler, 100)</t>
  </si>
  <si>
    <t xml:space="preserve">How many control objects are allowed in a frame?
</t>
  </si>
  <si>
    <t>In SimpleGUI, one kind of object can be added to the control panel that doesn't allow any handler. Thus, this object can't respond to anything. What kind of object is that?</t>
  </si>
  <si>
    <t>When you enter text into an input field and press enter, the text is passed to the input field's event handler. What is the data type of the text?</t>
  </si>
  <si>
    <t xml:space="preserve">When does the event handler for an input field get called?
</t>
  </si>
  <si>
    <t>When a user pushes a button, what argument is passed to the event handler?</t>
  </si>
  <si>
    <t>What does the draw handler parameter represent?</t>
  </si>
  <si>
    <t>What typically calls an event handler?</t>
  </si>
  <si>
    <t xml:space="preserve">The game programming in python follows below given sequence in alphabetical order. What is the correct order of sequence?
1. Create frames
2. Define Classes
3. Define event handlers
4. Initialize global variables 
5. Define helper functions 
6. Register event handlers 
7. Start frame and timers 
</t>
  </si>
  <si>
    <t>What is the function used to generate a random integer in Python?</t>
  </si>
  <si>
    <t>Which of the following is used to set the seed value for random module in Python?</t>
  </si>
  <si>
    <t>Which of the following methods returns a random float between 0 and 1 in Python?</t>
  </si>
  <si>
    <t>Which of the following methods generates a random element from a given list in Python?</t>
  </si>
  <si>
    <t xml:space="preserve">DEERDEER
MonkeysMonkey
COWCOW
KangarooKangaroo </t>
  </si>
  <si>
    <t xml:space="preserve">DEER 
DELHIMONKEY 
DELHIMONKEYCOW </t>
  </si>
  <si>
    <t xml:space="preserve">DEER 
MONKEY 
cow 
KANGAROO </t>
  </si>
  <si>
    <t>DEER
Monkey
COW
Kangaroo</t>
  </si>
  <si>
    <t xml:space="preserve">DELHIDELHII 
MUMBAIMUMBAI 
CHENNAICHENNAI 
KOLKATAKOLKATA </t>
  </si>
  <si>
    <t xml:space="preserve">DELHI 
DELHIMUMBAI 
DELHIMUMBAICHENNAI </t>
  </si>
  <si>
    <t xml:space="preserve">DELHI 
MUMBAI 
CHENNAI 
KOLKATA </t>
  </si>
  <si>
    <t xml:space="preserve">DELHI 
MUMBAIMUMBAI 
KOLKATAKOLKATAKOLKATA </t>
  </si>
  <si>
    <t>M_M_Y_P</t>
  </si>
  <si>
    <t>R_G_A_G</t>
  </si>
  <si>
    <t xml:space="preserve">G_G_R_O	</t>
  </si>
  <si>
    <t>O_G_G_A</t>
  </si>
  <si>
    <t>0#1
1#2
2#3</t>
  </si>
  <si>
    <t>0#1
1#2</t>
  </si>
  <si>
    <t>0#1
1#2
2#3
3#4</t>
  </si>
  <si>
    <t>0#1</t>
  </si>
  <si>
    <t>Finding Nemo or Harry Potter</t>
  </si>
  <si>
    <t>Harry Potter or Toy Story</t>
  </si>
  <si>
    <t>Frozen or The Jungle</t>
  </si>
  <si>
    <t>Toy Story or Spider Man</t>
  </si>
  <si>
    <t>[‘Sky Blue’, ‘Green’, ‘Yellow’, ‘Pink’, ‘Red’]</t>
  </si>
  <si>
    <t>[‘Blue’, ‘Green’, ‘Pink’, ’Brown’, ‘Red’, ‘Black’]</t>
  </si>
  <si>
    <t>[Yellow, Sky blue, Green, Pink, Red]</t>
  </si>
  <si>
    <t>(‘Yellow’, ‘Red’, ‘Sky blue’, ‘Green’, ‘Pink’)</t>
  </si>
  <si>
    <t>57 and i</t>
  </si>
  <si>
    <t>62 and S</t>
  </si>
  <si>
    <t>20 and p</t>
  </si>
  <si>
    <t>30 and m</t>
  </si>
  <si>
    <t xml:space="preserve">BLUE 
PINK 
GREEN 
RED </t>
  </si>
  <si>
    <t xml:space="preserve">BLUE 
BLUEPINK 
BLUEPINKGREEN 
BLUEPINKGREENRED </t>
  </si>
  <si>
    <t xml:space="preserve">PINK 
PINKGREEN 
GREENRED </t>
  </si>
  <si>
    <t xml:space="preserve">BLUEBLUE 
PINKPINK 
GREEENGREEN 
GREENGREEN </t>
  </si>
  <si>
    <t>2 and 7</t>
  </si>
  <si>
    <t>3 and 4</t>
  </si>
  <si>
    <t>8 and 10</t>
  </si>
  <si>
    <t>8 and 9</t>
  </si>
  <si>
    <t>import random</t>
  </si>
  <si>
    <t>random.h</t>
  </si>
  <si>
    <t>import.random</t>
  </si>
  <si>
    <t>random.random</t>
  </si>
  <si>
    <t>An integer other than 2, 3 and 4</t>
  </si>
  <si>
    <t>Either 2, 3 or 4</t>
  </si>
  <si>
    <t>Error</t>
  </si>
  <si>
    <t>3 only</t>
  </si>
  <si>
    <t>Either 10.4, 56.99 or 76</t>
  </si>
  <si>
    <t>Any number other than 10.4, 56.99 and 76</t>
  </si>
  <si>
    <t>56.99 only</t>
  </si>
  <si>
    <t>sun</t>
  </si>
  <si>
    <t>U</t>
  </si>
  <si>
    <t>either s, u or n</t>
  </si>
  <si>
    <t>error</t>
  </si>
  <si>
    <t>Any integer between 3.5 and 7, including 7</t>
  </si>
  <si>
    <t>Any integer between 3.5 and 7, excluding 7</t>
  </si>
  <si>
    <t>The integer closest to the mean of 3.5 and 7</t>
  </si>
  <si>
    <t>seed</t>
  </si>
  <si>
    <t>randomise</t>
  </si>
  <si>
    <t>shuffle</t>
  </si>
  <si>
    <t>uniform</t>
  </si>
  <si>
    <t>Randomized list containing the same numbers in any order</t>
  </si>
  <si>
    <t>The same list, that is [1,2,24]</t>
  </si>
  <si>
    <t>A list containing any random numbers between 1 and 24</t>
  </si>
  <si>
    <t>None</t>
  </si>
  <si>
    <t>Space tab</t>
  </si>
  <si>
    <t>,</t>
  </si>
  <si>
    <t>none of these</t>
  </si>
  <si>
    <t>KeyError</t>
  </si>
  <si>
    <t>do nothing</t>
  </si>
  <si>
    <t>shuffle elements of list in place</t>
  </si>
  <si>
    <t>strings</t>
  </si>
  <si>
    <t>list</t>
  </si>
  <si>
    <t>tuples</t>
  </si>
  <si>
    <t>integers</t>
  </si>
  <si>
    <t>[0.0,1.0]</t>
  </si>
  <si>
    <t>(0.0,1.0]</t>
  </si>
  <si>
    <t>(0.0,1.0)</t>
  </si>
  <si>
    <t>[0.0,1.0)</t>
  </si>
  <si>
    <t>widget</t>
  </si>
  <si>
    <t>Control Area</t>
  </si>
  <si>
    <t>Status Area</t>
  </si>
  <si>
    <t>Canvas</t>
  </si>
  <si>
    <t>f = simplegui.create_Frame("My Frame", 100, 100)</t>
  </si>
  <si>
    <t>f = simplegui.create_frames("My Frame", 100, 100)</t>
  </si>
  <si>
    <t>frame = simplegui.create_frame(100, 100, 100)</t>
  </si>
  <si>
    <t xml:space="preserve">frame = simplegui.create_frame("Testing", 200, 200, 300)
</t>
  </si>
  <si>
    <t>import simplegui
frame = simplegui.Create_frame("My Frame", 100, 100)
frame.set_canvas_background("Red")
frame.start()</t>
  </si>
  <si>
    <t>import simplegui
frame = simplegui.create_frame("My Frame", 100, 100)
frame.set_canvas_background("red")
frame.start()</t>
  </si>
  <si>
    <t>import simplegui
frame = simplegui.create_frame( 100, 100)
frame.set_canvas_background("red")
frame.start()</t>
  </si>
  <si>
    <t>import simplegui
frame = simplegui.create_frame("My Frame", 100, 100)
frame.set_canvas_background("blue")
frame.start()</t>
  </si>
  <si>
    <t xml:space="preserve">Width of the button in pixels.
</t>
  </si>
  <si>
    <t xml:space="preserve">Width and height of the button in pixels.
</t>
  </si>
  <si>
    <t xml:space="preserve">Height of the button in pixels.
</t>
  </si>
  <si>
    <t xml:space="preserve">Position of the button in pixels.
</t>
  </si>
  <si>
    <t>0 or more</t>
  </si>
  <si>
    <t>1 or more</t>
  </si>
  <si>
    <t>2 or more</t>
  </si>
  <si>
    <t>3 or more</t>
  </si>
  <si>
    <t>button</t>
  </si>
  <si>
    <t>label</t>
  </si>
  <si>
    <t>canvas</t>
  </si>
  <si>
    <t>title</t>
  </si>
  <si>
    <t>integer</t>
  </si>
  <si>
    <t>char</t>
  </si>
  <si>
    <t>string</t>
  </si>
  <si>
    <t>bytes</t>
  </si>
  <si>
    <t>when you press enter</t>
  </si>
  <si>
    <t xml:space="preserve">when you press escape
</t>
  </si>
  <si>
    <t>when you press run</t>
  </si>
  <si>
    <t>No arguments</t>
  </si>
  <si>
    <t>Command</t>
  </si>
  <si>
    <t xml:space="preserve">Parameters
</t>
  </si>
  <si>
    <t xml:space="preserve">panel
</t>
  </si>
  <si>
    <t>the code we write</t>
  </si>
  <si>
    <t>some code that we don't write which generates the event</t>
  </si>
  <si>
    <t>it generates automatically</t>
  </si>
  <si>
    <t>1,2,3,4,5,6,7</t>
  </si>
  <si>
    <t>4,5,2,1,3,6,7</t>
  </si>
  <si>
    <t>4,5,2,6,3,1,7</t>
  </si>
  <si>
    <t>4,5,2,3,1,6,7</t>
  </si>
  <si>
    <t>randint()</t>
  </si>
  <si>
    <t>random()</t>
  </si>
  <si>
    <t>uniform()</t>
  </si>
  <si>
    <t>shuffle()</t>
  </si>
  <si>
    <t>random.random()</t>
  </si>
  <si>
    <t>random.seed()</t>
  </si>
  <si>
    <t>random.randint()</t>
  </si>
  <si>
    <t>random.uniform()</t>
  </si>
  <si>
    <t>random.choice()</t>
  </si>
  <si>
    <t>What happens if you draw text outside the canvas coordinates?</t>
  </si>
  <si>
    <t>On the canvas, where is the origin, (0,0) located?</t>
  </si>
  <si>
    <t>Which of the following functions can be used to draw a square on the canvas by passing four points?</t>
  </si>
  <si>
    <t>Which of the following functions is used to write something on the canvas?</t>
  </si>
  <si>
    <t>Which of the following functions can be used to draw connected lines on the canvas?</t>
  </si>
  <si>
    <t>Assume we have a canvas that is 200 pixels wide and 300 pixels high.  We want to draw a green line between the upper left corner of the canvas and the lower right corner of the canvas.  Which of the following calls will accomplish this?</t>
  </si>
  <si>
    <t>Where should your draw_text, draw_line, and similar drawing calls be?</t>
  </si>
  <si>
    <t>Turn the following description into a program, and run it.
 1. Create a 300-by-300 canvas.
 2. Draw two circles with radius 20 and white lines of width 10.  One is centered at (90,200) and one at (210,200).
 3. Draw a red line of width 40 from (50,180) to (250,180).
 4. Draw two red lines of width 5 from (55,170) to (90,120) and from (90,120) to (130,120).
 5. Draw a red line of width 140 from (180,108) to (180,160).
The resulting picture is a simple diagram of what?</t>
  </si>
  <si>
    <t>When the following code is executed, how many times is timer_handler called?
import SimpleGUICS2Pygame.simpleguics2pygame as simplegui
def timer_handler():
    '''
timer = simplegui.create_timer(10, timer_handler)
timer.start()
The body of timer_handler isn’t given, as it is irrelevant for this question.</t>
  </si>
  <si>
    <t>You want a timer to create exactly 1000 events.  Which of the following solutions are possible?</t>
  </si>
  <si>
    <t>How do you change the frequency of a running timer, either increasing or decreasing the frequency?  E.g., in the code below, we want code at the question marks that changes the timer.        …
timer = simplegui.create_timer(1000, timer_handler)
timer.start()
…
???</t>
  </si>
  <si>
    <t>How many timers can you have running at once?</t>
  </si>
  <si>
    <t>The Python code below uses a timer to execute the function update() 10 times, computing a good approximation to a common mathematical function. Examine the code, and run it while varying the input value n.
What is the common name for what this computes?                                                                                                                                                                                                                                                            # Mystery computation in Python
# Takes input n and computes output named result
import SimpleGUICS2Pygame.simpleguics2pygame as simplegui
# global state
result = 1
iteration = 0
max_iterations = 10
# helper functions
def init(start):
    """Initializes n."""
    global n
    n = start
    print("Input is", n)
def get_next(current):
    """??? Part of mystery computation."""
    return 0.5 * (current + n / current)
# timer callback
def update():
    """??? Part of mystery computation."""
    global iteration, result
    iteration += 1
    # Stop iterating after max_iterations
    if iteration &gt;= max_iterations:
        timer.stop()
        print("Output is", result)
    else:
        result = get_next(result)
# register event handlers
timer = simplegui.create_timer(1, update)
# start program
init(13)
timer.start()</t>
  </si>
  <si>
    <t xml:space="preserve">Which of the following illustrate how to properly structure a keydown or keyup event handler?  (For more advanced Python programmers, assume that you have just imported simplegui and haven't used from.)
</t>
  </si>
  <si>
    <t>Assume you have a program with a keydown handler.  You run it, and press a single key and hold it down continuously.  How many times does the keydown handler get called?</t>
  </si>
  <si>
    <t>Several keys on the keyboard, such as Shift, CapsLock, and Ctrl, typically act to modify what happens when you press other keys, rather than doing anything on their own.  When using the SimpleGUI keydown handler, how are such keys treated?</t>
  </si>
  <si>
    <t>The following code will generate the what?                                                                                                                                                                                                        import SimpleGUICS2Pygame.simpleguics2pygame as simplegui
def draw_handler(canvas):
    canvas.draw_text('A', (20, 20), 12, 'Red')
    canvas.draw_text('B', [30, 50], 20, 'Blue')
    canvas.draw_text('C', (80, 50), 12, 'Gray', 'serif')
frame = simplegui.create_frame('Testing', 100, 100)
frame.set_draw_handler(draw_handler)
frame.start()</t>
  </si>
  <si>
    <t>What will be the output of the following python code?                                                                                                                                                                                     import SimpleGUICS2Pygame.simpleguics2pygame as simplegui
def timer_handler():
    pass
timer = simplegui.create_timer(100, timer_handler)
print(timer.is_running())
timer.start()
print(timer.is_running())
timer.stop()
print(timer.is_running())</t>
  </si>
  <si>
    <t xml:space="preserve">What will be the output of the following code if keyboard button 'up' is pressed?                                                                                                                                                                                                                                                   # control the velocity of a ball using the arrow keys
import SimpleGUICS2Pygame.simpleguics2pygame as simplegui
# Initialize globals
WIDTH = 600
HEIGHT = 400
BALL_RADIUS = 20
ball_pos = [WIDTH / 2, HEIGHT / 2]
vel = [0, 0]
# define event handlers
def draw(canvas):
    # Update ball position
    ball_pos[0] += vel[0]
    ball_pos[1] += vel[1]
    # Draw ball
    canvas.draw_circle(ball_pos, BALL_RADIUS, 2, "Red", "White")
def keydown(key):
    acc = 1
    if key==simplegui.KEY_MAP["left"]:
        vel[0] -= acc
        print(vel[0])
        print(vel[1])
    elif key==simplegui.KEY_MAP["right"]:
        vel[0] += acc
        print(vel[0])
        print(vel[1])
    elif key==simplegui.KEY_MAP["down"]:
        vel[1] += acc
        print(vel[0])
        print(vel[1])
    elif key==simplegui.KEY_MAP["up"]:
        vel[1] -= acc
        print(vel[0])
        print(vel[1])
    #print ball_pos
# create frame 
frame = simplegui.create_frame("Velocity ball control", WIDTH, HEIGHT)
# register event handlers
frame.set_draw_handler(draw)
frame.set_keydown_handler(keydown)
# start frame
frame.start()
</t>
  </si>
  <si>
    <t>Which shape the following code will generate?                                                                                                                                                                                                 import SimpleGUICS2Pygame.simpleguics2pygame as simplegui
# Global Variables
canvas_width = 600
canvas_height = 600
# Event Handlers
def draw(canvas):
    a = 450
    b = 450
    width = 100
    canvas.draw_polygon([(a, b), (a + width, b), ((2 * a + width) / 2, b + width / 2 / math.tan(math.pi / 6))], 5, "Black", "Gray")
# Frame
frame = simplegui.create_frame("Shapes", canvas_width, canvas_height) 
# Register Event Handlers
frame.set_draw_handler(draw)
# Remember to start the frame
frame.start()</t>
  </si>
  <si>
    <t>Which global variables are to provided necessarily  in order to restart the game?                                                        
import SimpleGUICS2Pygame.simpleguics2pygame as simplegui
import random
# Global Variables
canvas_width = 200
canvas_height = 200
reaction_time = 0
# Used to see if the circle should be drawn
started = False
count = 0
# Event Handlers
def check_start():
    global started, count
    count += 1
    # This makes sure that the circle won't be drawn for at
    #        least one second after starting the frame or clicking
    #        the restart button.
    if count &gt; 10:
        # This increases the likelihood of starting and ensures
        #        that the game will start within a time limit.
        if count / 500.0 &gt; random.random():
            started = True
            reaction_timer.start()
            circle_timer.stop()
def increment():
    global reaction_time
    reaction_time += 1
def stop_button():
    if started:
        reaction_timer.stop()
        print("Your reaction time was", reaction_time, "milliseconds")       
def draw(canvas):
    if started:
        canvas.draw_circle([canvas_width / 2, canvas_height / 2], 60, 2, "Red", "Red")       
def restart():
    global ?
    started = False
    count = 0
    reaction_time = 0
    circle_timer.start()
# Frame
frame = simplegui.create_frame("Reaction Time", canvas_width, canvas_height) 
# Register Event Handlers
frame.set_draw_handler(draw)
# By the way, these are labels. You can check the docs for
#        more info.
label = frame.add_label("Get ready...")
frame.add_label("Press 'stop' when the red circle appears.")                      
frame.add_button("Stop", stop_button, 75)
frame.add_button("Restart", restart, 75)
# Note that the timers do not have the same name or purpose
circle_timer = simplegui.create_timer(100, check_start)
reaction_timer = simplegui.create_timer(1, increment)
# Start Frame and circle_timer
frame.start()
circle_timer.start()</t>
  </si>
  <si>
    <t>Which arithmetic operator in next_color indicated by ? will ensures that you will never go to an invalid index, and also causes the cycle to repeat again from the first color when it reaches the end of the list?                                                                                                                                                                                                                                                                                                            import SimpleGUICS2Pygame.simpleguics2pygame as simplegui
# Global Variables
canvas_width = 300
canvas_height = 300
colors = ["Red", "Orange", "Yellow", "Green", "Blue", "Purple"]
# Different rainbow colors list (uncomment to use)
#colors = ["DeepPink", "Red", "DarkOrange", "Yellow", "Lime", "Aqua", "Magenta"]
index = 0
# Event Handlers
def draw(canvas):
    frame.set_canvas_background(colors[index])
def next_color():
    global index
    index += 1
    index = index ? len(colors)
# Frame and Timer
frame = simplegui.create_frame("Rainbow Canvas", canvas_width, canvas_height) 
timer = simplegui.create_timer(500, next_color)
# Register Event Handlers
frame.set_draw_handler(draw)
# Start
frame.start()
timer.start()</t>
  </si>
  <si>
    <t xml:space="preserve">What is the output of the following code?                                                                                                                                                                                                                import SimpleGUICS2Pygame.simpleguics2pygame as simplegui
count = 0
def on_timer():
    count += 1  
    print("Timer count:", count)
frame = simplegui.create_frame("Timer Example", 200, 200)
frame.start()
timer_interval = 1000
timer = simplegui.create_timer(timer_interval, on_timer)
timer.start()
</t>
  </si>
  <si>
    <t>The canvas</t>
  </si>
  <si>
    <t>The frame</t>
  </si>
  <si>
    <t>The object to be drawn</t>
  </si>
  <si>
    <t>The location of the object to be drawn</t>
  </si>
  <si>
    <t>Some or none of the text is shown.  Conceptually, the text is drawn at whatever coordinates are given, but only whatever text fits within the canvas coordinates is shown.</t>
  </si>
  <si>
    <t>Causes an error</t>
  </si>
  <si>
    <t>The text appears in the frame, but some or all of the text is shown outside the canvas area.</t>
  </si>
  <si>
    <t>The text coordinates are implicitly “wrapped” around using modular arithmetic, so that the text appears on the canvas</t>
  </si>
  <si>
    <t>in the middle of the canvas</t>
  </si>
  <si>
    <t>on the top of the canvas</t>
  </si>
  <si>
    <t>at the top left corner of the canvas</t>
  </si>
  <si>
    <t>at the bottom left corner of the canvas</t>
  </si>
  <si>
    <t>draw_poly()</t>
  </si>
  <si>
    <t>draw_polygon()</t>
  </si>
  <si>
    <t>draw_square()</t>
  </si>
  <si>
    <t>draw_lines()</t>
  </si>
  <si>
    <t>draw()</t>
  </si>
  <si>
    <t>draw_text()</t>
  </si>
  <si>
    <t>write()</t>
  </si>
  <si>
    <t>draw_write()</t>
  </si>
  <si>
    <t>draw_polyline()</t>
  </si>
  <si>
    <t>draw_polylines()</t>
  </si>
  <si>
    <t>lines()</t>
  </si>
  <si>
    <t>canvas.draw_line((300, 0), (0, 200), 10, "Green")</t>
  </si>
  <si>
    <t>canvas.draw_line((200, 0), (0, 300), 10, "Green")</t>
  </si>
  <si>
    <t>canvas.draw_line((0, 0), (200, 300), 10, "Green")</t>
  </si>
  <si>
    <t>canvas.draw_line((200, 300), (0, 0), 10, "Green")</t>
  </si>
  <si>
    <t>In the handlers for the control objects that create or change the drawing, or their helper functions</t>
  </si>
  <si>
    <t>Anywhere in your code</t>
  </si>
  <si>
    <t>In a draw handler, or a helper function called from it</t>
  </si>
  <si>
    <t>Nowhere</t>
  </si>
  <si>
    <t>A computer</t>
  </si>
  <si>
    <t>A house</t>
  </si>
  <si>
    <t>A motorcycle</t>
  </si>
  <si>
    <t>An Automobile</t>
  </si>
  <si>
    <t>0 — The code hasn’t been written correctly.</t>
  </si>
  <si>
    <t>Unlimited — It is called repeatedly until you stop the program.</t>
  </si>
  <si>
    <t>Specify the number of timer events when creating the timer.</t>
  </si>
  <si>
    <t xml:space="preserve">Have a global counter for the number of timer calls.
In the timer handler, increment the counter.  In the timer handler, check the count and possibly stop the timer. </t>
  </si>
  <si>
    <t xml:space="preserve">In the timer handler, have a local counter for the number of timer calls.
In the timer handler, increment the counter.  In the timer handler, check the count and possibly stop the timer. </t>
  </si>
  <si>
    <t xml:space="preserve">Have a global counter for the number of timer calls.
Outside the timer handler, increment the counter.  Outside the timer handler, check the count and possibly stop the timer. </t>
  </si>
  <si>
    <t>You can't.  But, you can stop this timer, and start a new one with a different frequency and same handler.   timer.stop()
timer = simplegui.create_timer(300, timer_handler)
timer.start()</t>
  </si>
  <si>
    <t>Create and start the timer again. timer = simplegui.create_timer(300, timer_handler)
timer.start()</t>
  </si>
  <si>
    <t xml:space="preserve">
Just run 
create_timer
create_timer.  It will change the timer.    timer = simplegui.create_timer(300, timer_handler)</t>
  </si>
  <si>
    <t xml:space="preserve">
Just use 
set_timer_interval
set_timer_interval.         timer.set_timer_interval(300)</t>
  </si>
  <si>
    <t>Unlimited</t>
  </si>
  <si>
    <t>Cosine of n</t>
  </si>
  <si>
    <t>Square root of n</t>
  </si>
  <si>
    <t>Multiplication by 2: 
2n</t>
  </si>
  <si>
    <t xml:space="preserve">
Logarithm base 2</t>
  </si>
  <si>
    <t>def keydown_handler(key):
    if key == "left":
        …</t>
  </si>
  <si>
    <t>def keydown_handler(key):
    if key == simplegui.KEY_MAP["left"]:
        …</t>
  </si>
  <si>
    <t>def keydown_handler(key):
    if "left" == simplegui.KEY_MAP[key]:
        …</t>
  </si>
  <si>
    <t>def keydown_handler(key):
    if key == KEY_MAP["left"]:
        …</t>
  </si>
  <si>
    <t xml:space="preserve">
Unlimited — i.e., repeatedly until you finally release the key</t>
  </si>
  <si>
    <t>2 — once at the beginning and once when you release the key</t>
  </si>
  <si>
    <t>No effect — e.g., pressing the Shift key does not create or modify the behavior of any event.</t>
  </si>
  <si>
    <t xml:space="preserve">
Independent key press events — e.g., pressing Shift by itself creates an event</t>
  </si>
  <si>
    <t>Modify other key presses — e.g., pressing the 'a' key creates an event with a different value than pressing Shift and 'a' together.</t>
  </si>
  <si>
    <t>None of these are correct</t>
  </si>
  <si>
    <t>line</t>
  </si>
  <si>
    <t>circle</t>
  </si>
  <si>
    <t>polygon</t>
  </si>
  <si>
    <t>text</t>
  </si>
  <si>
    <t>False                 True        False</t>
  </si>
  <si>
    <t>True                True        False</t>
  </si>
  <si>
    <t>False                 True        True</t>
  </si>
  <si>
    <t>False                                             False                                                 False</t>
  </si>
  <si>
    <t>0                
0</t>
  </si>
  <si>
    <t>0
-1</t>
  </si>
  <si>
    <t>1
0</t>
  </si>
  <si>
    <t>-1                                           0</t>
  </si>
  <si>
    <t>Right Angle Triangle</t>
  </si>
  <si>
    <t>Isoceles Triangle</t>
  </si>
  <si>
    <t>Equilateral Triangle</t>
  </si>
  <si>
    <t>Scalene Triangle</t>
  </si>
  <si>
    <t>started</t>
  </si>
  <si>
    <t>count</t>
  </si>
  <si>
    <t>reaction_time</t>
  </si>
  <si>
    <t>All of these</t>
  </si>
  <si>
    <t>Modulus</t>
  </si>
  <si>
    <t>Multiplication</t>
  </si>
  <si>
    <t>Floor Division</t>
  </si>
  <si>
    <t>Greater than</t>
  </si>
  <si>
    <t xml:space="preserve"> There is no error</t>
  </si>
  <si>
    <t>The timer callback function cannot access the count variable</t>
  </si>
  <si>
    <t xml:space="preserve"> The timer callback function should have one argument</t>
  </si>
  <si>
    <t>The timer should be set using set_timer_handler()</t>
  </si>
  <si>
    <t>Which function in SimpleGUICS2Pygame is used to handle mouse clicks?</t>
  </si>
  <si>
    <t>What is the format of the parameter passed to the mouse click handler in SimpleGUICS2Pygame?</t>
  </si>
  <si>
    <t>What is the default behavior of the set_mouseclick_handler function in SimpleGUICS2Pygame when the user clicks the right mouse button?</t>
  </si>
  <si>
    <t>What is the purpose of the set_mousedrag_handler function in SimpleGUICS2Pygame?</t>
  </si>
  <si>
    <t>What function can be used to load an image file in SimpleGUICS2Pygame?</t>
  </si>
  <si>
    <t>How can you display a loaded image on the canvas in SimpleGUICS2Pygame?</t>
  </si>
  <si>
    <t>What is the purpose of using the get_width and get_height methods of an image object in SimpleGUICS2Pygame?</t>
  </si>
  <si>
    <t>What is the purpose of using the draw_image function in SimpleGUICS2Pygame?</t>
  </si>
  <si>
    <t>Which of the following methods can be used to load a sound file in SimpleGUICS2Pygame?</t>
  </si>
  <si>
    <t>How can you play a sound in SimpleGUICS2Pygame?</t>
  </si>
  <si>
    <t>How can you stop a playing sound in SimpleGUICS2Pygame?</t>
  </si>
  <si>
    <t>set_mouseclick_handler</t>
  </si>
  <si>
    <t>set_mousemove_handler</t>
  </si>
  <si>
    <t>set_keydown_handler</t>
  </si>
  <si>
    <t>set_draw_handler</t>
  </si>
  <si>
    <t>A tuple containing the x and y coordinates of the mouse pointer</t>
  </si>
  <si>
    <t>A single integer representing the position of the mouse pointer</t>
  </si>
  <si>
    <t>A list containing the x and y coordinates of the mouse pointer</t>
  </si>
  <si>
    <t>A dictionary containing the x and y coordinates of the mouse pointer</t>
  </si>
  <si>
    <t>It calls the specified function with the position of the right button click</t>
  </si>
  <si>
    <t>It calls the specified function with the position of the left button click</t>
  </si>
  <si>
    <t>It does not call the specified function</t>
  </si>
  <si>
    <t>It raises an exception</t>
  </si>
  <si>
    <t>To handle mouse button presses and releases</t>
  </si>
  <si>
    <t>To detect when the mouse is dragged across the screen</t>
  </si>
  <si>
    <t>To simulate a mouse click at a specific position</t>
  </si>
  <si>
    <t>To move the mouse pointer to a specific position</t>
  </si>
  <si>
    <t>load_image</t>
  </si>
  <si>
    <t>pygame.image.load</t>
  </si>
  <si>
    <t>simplegui.load_image</t>
  </si>
  <si>
    <t>simpleguics2pygame.load_image</t>
  </si>
  <si>
    <t>By calling the draw_image function with the loaded image and a position</t>
  </si>
  <si>
    <t>By calling the draw function with the loaded image and a position</t>
  </si>
  <si>
    <t>By calling the draw_image function with the loaded image and a rect object</t>
  </si>
  <si>
    <t>By calling the draw function with the loaded image and a rect object</t>
  </si>
  <si>
    <t>To calculate the aspect ratio of the image</t>
  </si>
  <si>
    <t>To determine the original size of the image</t>
  </si>
  <si>
    <t>To set the size of the image on the canvas</t>
  </si>
  <si>
    <t>To resize the image to a specific width and height</t>
  </si>
  <si>
    <t>To draw a loaded image on the canvas</t>
  </si>
  <si>
    <t>To create a new image object</t>
  </si>
  <si>
    <t>To resize an image object</t>
  </si>
  <si>
    <t>To rotate an image object</t>
  </si>
  <si>
    <t>pygame.mixer.load()</t>
  </si>
  <si>
    <t>simplegui.load_sound()</t>
  </si>
  <si>
    <t>simplegui.load()</t>
  </si>
  <si>
    <t>pygame.load_sound()</t>
  </si>
  <si>
    <t>By calling the play() method of the sound object</t>
  </si>
  <si>
    <t>By calling the play_sound() function</t>
  </si>
  <si>
    <t>By passing the sound object as an argument to the play_sound method of the pygame.mixer module</t>
  </si>
  <si>
    <t>By passing the sound object as an argument to the pygame.mixer.music.play function</t>
  </si>
  <si>
    <t>By calling the stop() method of the sound object</t>
  </si>
  <si>
    <t>By calling the stop_sound() function</t>
  </si>
  <si>
    <t>By passing the sound object as an argument to the pygame.mixer.music.stop function</t>
  </si>
  <si>
    <t>By calling the pause() method of the sound 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</si>
</sst>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22">
    <font>
      <sz val="11"/>
      <color theme="1"/>
      <name val="Calibri"/>
      <family val="2"/>
      <scheme val="minor"/>
    </font>
    <font>
      <sz val="12"/>
      <color theme="1"/>
      <name val="Andalus"/>
      <family val="1"/>
    </font>
    <font>
      <u/>
      <sz val="11"/>
      <color theme="10"/>
      <name val="Calibri"/>
      <family val="2"/>
    </font>
    <font>
      <b/>
      <sz val="12"/>
      <color theme="0"/>
      <name val="Andalus"/>
      <family val="1"/>
    </font>
    <font>
      <b/>
      <sz val="12"/>
      <color theme="0"/>
      <name val="Calibri"/>
      <family val="2"/>
      <scheme val="minor"/>
    </font>
    <font>
      <sz val="12"/>
      <color theme="0"/>
      <name val="Calibri"/>
      <family val="2"/>
      <scheme val="minor"/>
    </font>
    <font>
      <b/>
      <sz val="16"/>
      <color theme="0"/>
      <name val="Andalus"/>
      <family val="1"/>
    </font>
    <font>
      <b/>
      <u/>
      <sz val="22"/>
      <color rgb="FFFF0000"/>
      <name val="Andalus"/>
      <family val="1"/>
    </font>
    <font>
      <b/>
      <sz val="12"/>
      <color indexed="81"/>
      <name val="Tahoma"/>
      <family val="2"/>
    </font>
    <font>
      <b/>
      <sz val="25"/>
      <color theme="0"/>
      <name val="Lucida Calligraphy"/>
      <family val="4"/>
    </font>
    <font>
      <b/>
      <u/>
      <sz val="30"/>
      <color rgb="FFFFFF00"/>
      <name val="Lucida Calligraphy"/>
      <family val="4"/>
    </font>
    <font>
      <b/>
      <sz val="30"/>
      <color rgb="FFFFFF00"/>
      <name val="Lucida Calligraphy"/>
      <family val="4"/>
    </font>
    <font>
      <sz val="12"/>
      <name val="Calibri"/>
      <family val="2"/>
      <scheme val="minor"/>
    </font>
    <font>
      <b/>
      <sz val="12"/>
      <color theme="1" tint="4.9989318521683403E-2"/>
      <name val="Calibri"/>
      <family val="2"/>
      <scheme val="minor"/>
    </font>
    <font>
      <b/>
      <sz val="18"/>
      <color theme="1"/>
      <name val="Andalus"/>
      <family val="1"/>
    </font>
    <font>
      <sz val="22"/>
      <color theme="1"/>
      <name val="Andalus"/>
      <family val="1"/>
    </font>
    <font>
      <sz val="28"/>
      <color theme="1"/>
      <name val="Andalus"/>
      <family val="1"/>
    </font>
    <font>
      <b/>
      <sz val="28"/>
      <color theme="1"/>
      <name val="Andalus"/>
      <family val="1"/>
    </font>
    <font>
      <b/>
      <sz val="48"/>
      <color theme="0"/>
      <name val="Lucida Calligraphy"/>
      <family val="4"/>
    </font>
    <font>
      <sz val="18"/>
      <color theme="1"/>
      <name val="Times New Roman"/>
      <family val="1"/>
    </font>
    <font>
      <sz val="20"/>
      <color theme="1"/>
      <name val="Times New Roman"/>
      <family val="1"/>
    </font>
    <font>
      <b/>
      <sz val="22"/>
      <color theme="9" tint="-0.249977111117893"/>
      <name val="Lucida Calligraphy"/>
      <family val="4"/>
    </font>
  </fonts>
  <fills count="8">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rgb="FFFFC000"/>
        <bgColor indexed="64"/>
      </patternFill>
    </fill>
  </fills>
  <borders count="28">
    <border>
      <left/>
      <right/>
      <top/>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style="medium">
        <color theme="0"/>
      </right>
      <top style="medium">
        <color theme="0"/>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top style="thick">
        <color theme="0"/>
      </top>
      <bottom/>
      <diagonal/>
    </border>
    <border>
      <left/>
      <right style="thick">
        <color theme="0"/>
      </right>
      <top style="thick">
        <color theme="0"/>
      </top>
      <bottom/>
      <diagonal/>
    </border>
    <border>
      <left style="thick">
        <color theme="0"/>
      </left>
      <right/>
      <top style="thick">
        <color theme="0"/>
      </top>
      <bottom style="thick">
        <color theme="0"/>
      </bottom>
      <diagonal/>
    </border>
    <border>
      <left style="medium">
        <color theme="0"/>
      </left>
      <right/>
      <top/>
      <bottom/>
      <diagonal/>
    </border>
    <border>
      <left style="thick">
        <color theme="0"/>
      </left>
      <right/>
      <top/>
      <bottom/>
      <diagonal/>
    </border>
    <border>
      <left style="medium">
        <color indexed="64"/>
      </left>
      <right/>
      <top/>
      <bottom/>
      <diagonal/>
    </border>
    <border>
      <left/>
      <right/>
      <top style="thick">
        <color theme="0"/>
      </top>
      <bottom style="thick">
        <color theme="0"/>
      </bottom>
      <diagonal/>
    </border>
    <border>
      <left style="thick">
        <color theme="0"/>
      </left>
      <right/>
      <top style="medium">
        <color theme="0"/>
      </top>
      <bottom/>
      <diagonal/>
    </border>
    <border>
      <left style="medium">
        <color theme="0"/>
      </left>
      <right style="medium">
        <color theme="0"/>
      </right>
      <top/>
      <bottom/>
      <diagonal/>
    </border>
    <border>
      <left style="thin">
        <color indexed="64"/>
      </left>
      <right style="thin">
        <color indexed="64"/>
      </right>
      <top style="thin">
        <color indexed="64"/>
      </top>
      <bottom style="thin">
        <color indexed="64"/>
      </bottom>
      <diagonal/>
    </border>
    <border>
      <left/>
      <right style="medium">
        <color theme="0"/>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82">
    <xf numFmtId="0" fontId="0" fillId="0" borderId="0" xfId="0"/>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12" fillId="4" borderId="9" xfId="0" applyFont="1" applyFill="1" applyBorder="1" applyAlignment="1">
      <alignment horizontal="center" vertical="center"/>
    </xf>
    <xf numFmtId="0" fontId="10" fillId="2" borderId="2" xfId="1" applyFont="1" applyFill="1" applyBorder="1" applyAlignment="1" applyProtection="1">
      <alignment horizontal="center" vertical="center"/>
      <protection locked="0"/>
    </xf>
    <xf numFmtId="0" fontId="11" fillId="2" borderId="3" xfId="0" applyFont="1" applyFill="1" applyBorder="1" applyAlignment="1" applyProtection="1">
      <alignment vertical="center" wrapText="1"/>
      <protection locked="0"/>
    </xf>
    <xf numFmtId="0" fontId="11" fillId="2" borderId="6" xfId="0" applyFont="1" applyFill="1" applyBorder="1" applyAlignment="1" applyProtection="1">
      <alignment vertical="center" wrapText="1"/>
      <protection locked="0"/>
    </xf>
    <xf numFmtId="0" fontId="16" fillId="2" borderId="7" xfId="0" applyFont="1" applyFill="1" applyBorder="1" applyProtection="1">
      <protection locked="0"/>
    </xf>
    <xf numFmtId="0" fontId="1" fillId="0" borderId="0" xfId="0" applyFont="1" applyProtection="1">
      <protection locked="0"/>
    </xf>
    <xf numFmtId="0" fontId="9" fillId="2" borderId="5" xfId="0" applyFont="1" applyFill="1" applyBorder="1" applyAlignment="1" applyProtection="1">
      <alignment horizontal="center" vertical="center"/>
      <protection locked="0"/>
    </xf>
    <xf numFmtId="0" fontId="9" fillId="2" borderId="6" xfId="0" applyFont="1" applyFill="1" applyBorder="1" applyAlignment="1" applyProtection="1">
      <alignment vertical="center" wrapText="1"/>
      <protection locked="0"/>
    </xf>
    <xf numFmtId="0" fontId="9" fillId="2" borderId="0" xfId="0" applyFont="1" applyFill="1" applyAlignment="1" applyProtection="1">
      <alignment vertical="center" wrapText="1"/>
      <protection locked="0"/>
    </xf>
    <xf numFmtId="0" fontId="16" fillId="2" borderId="21" xfId="0" applyFont="1" applyFill="1" applyBorder="1" applyProtection="1">
      <protection locked="0"/>
    </xf>
    <xf numFmtId="0" fontId="15" fillId="0" borderId="0" xfId="0" applyFont="1" applyProtection="1">
      <protection locked="0"/>
    </xf>
    <xf numFmtId="0" fontId="1" fillId="0" borderId="0" xfId="0" applyFont="1" applyAlignment="1" applyProtection="1">
      <alignment horizontal="left" vertical="center"/>
      <protection locked="0"/>
    </xf>
    <xf numFmtId="0" fontId="1" fillId="0" borderId="0" xfId="0" applyFont="1" applyAlignment="1" applyProtection="1">
      <alignment wrapText="1"/>
      <protection locked="0"/>
    </xf>
    <xf numFmtId="0" fontId="1" fillId="0" borderId="0" xfId="0" applyFont="1" applyAlignment="1" applyProtection="1">
      <alignment horizontal="center" vertical="center"/>
      <protection locked="0"/>
    </xf>
    <xf numFmtId="0" fontId="1" fillId="0" borderId="0" xfId="0" applyFont="1" applyAlignment="1" applyProtection="1">
      <alignment horizontal="center" vertical="center" wrapText="1"/>
      <protection locked="0"/>
    </xf>
    <xf numFmtId="0" fontId="16" fillId="0" borderId="0" xfId="0" applyFont="1" applyProtection="1">
      <protection locked="0"/>
    </xf>
    <xf numFmtId="0" fontId="20" fillId="6" borderId="20" xfId="0" applyFont="1" applyFill="1" applyBorder="1" applyAlignment="1">
      <alignment horizontal="center" vertical="center" wrapText="1"/>
    </xf>
    <xf numFmtId="0" fontId="0" fillId="0" borderId="0" xfId="0" applyProtection="1">
      <protection locked="0"/>
    </xf>
    <xf numFmtId="0" fontId="3" fillId="2" borderId="1" xfId="0" applyFont="1" applyFill="1" applyBorder="1" applyAlignment="1" applyProtection="1">
      <alignment horizontal="center" vertical="center"/>
      <protection locked="0"/>
    </xf>
    <xf numFmtId="0" fontId="3" fillId="2" borderId="2" xfId="0" applyFont="1" applyFill="1" applyBorder="1" applyAlignment="1" applyProtection="1">
      <alignment vertical="center"/>
      <protection locked="0"/>
    </xf>
    <xf numFmtId="0" fontId="3" fillId="0" borderId="4" xfId="0" applyFont="1" applyBorder="1" applyProtection="1">
      <protection locked="0"/>
    </xf>
    <xf numFmtId="0" fontId="3" fillId="2" borderId="2" xfId="0" applyFont="1" applyFill="1" applyBorder="1" applyAlignment="1" applyProtection="1">
      <alignment horizontal="center" vertical="center"/>
      <protection locked="0"/>
    </xf>
    <xf numFmtId="0" fontId="3" fillId="2" borderId="8" xfId="0" applyFont="1" applyFill="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5" xfId="0" applyFont="1" applyFill="1" applyBorder="1" applyAlignment="1" applyProtection="1">
      <alignment vertical="center"/>
      <protection locked="0"/>
    </xf>
    <xf numFmtId="0" fontId="3" fillId="0" borderId="7" xfId="0" applyFont="1" applyBorder="1" applyProtection="1">
      <protection locked="0"/>
    </xf>
    <xf numFmtId="0" fontId="6" fillId="5" borderId="0" xfId="0" applyFont="1" applyFill="1" applyAlignment="1" applyProtection="1">
      <alignment vertical="center" wrapText="1"/>
      <protection locked="0"/>
    </xf>
    <xf numFmtId="0" fontId="13" fillId="3" borderId="19" xfId="0" applyFont="1" applyFill="1" applyBorder="1" applyAlignment="1" applyProtection="1">
      <alignment horizontal="center" vertical="center" wrapText="1"/>
      <protection locked="0"/>
    </xf>
    <xf numFmtId="0" fontId="13" fillId="3" borderId="14" xfId="0" applyFont="1" applyFill="1" applyBorder="1" applyAlignment="1" applyProtection="1">
      <alignment horizontal="center" vertical="center" wrapText="1"/>
      <protection locked="0"/>
    </xf>
    <xf numFmtId="0" fontId="0" fillId="0" borderId="0" xfId="0" applyAlignment="1" applyProtection="1">
      <alignment wrapText="1"/>
      <protection locked="0"/>
    </xf>
    <xf numFmtId="0" fontId="4" fillId="2" borderId="9" xfId="0" applyFont="1" applyFill="1" applyBorder="1" applyAlignment="1" applyProtection="1">
      <alignment horizontal="center" vertical="center"/>
      <protection locked="0"/>
    </xf>
    <xf numFmtId="0" fontId="5" fillId="2" borderId="9" xfId="0" applyFont="1" applyFill="1" applyBorder="1" applyAlignment="1" applyProtection="1">
      <alignment horizontal="center" vertical="center"/>
      <protection locked="0"/>
    </xf>
    <xf numFmtId="0" fontId="5" fillId="2" borderId="13" xfId="0" applyFont="1" applyFill="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4" fillId="2" borderId="10" xfId="0" applyFont="1" applyFill="1" applyBorder="1" applyAlignment="1" applyProtection="1">
      <alignment horizontal="center" vertical="center"/>
      <protection locked="0"/>
    </xf>
    <xf numFmtId="0" fontId="13" fillId="3" borderId="10" xfId="0" applyFont="1" applyFill="1" applyBorder="1" applyAlignment="1" applyProtection="1">
      <alignment horizontal="center" vertical="center"/>
      <protection locked="0"/>
    </xf>
    <xf numFmtId="0" fontId="13" fillId="3" borderId="11" xfId="0" applyFont="1" applyFill="1" applyBorder="1" applyAlignment="1" applyProtection="1">
      <alignment horizontal="center" vertical="center"/>
      <protection locked="0"/>
    </xf>
    <xf numFmtId="0" fontId="0" fillId="0" borderId="0" xfId="0" applyAlignment="1" applyProtection="1">
      <alignment horizontal="left" vertical="center"/>
      <protection locked="0"/>
    </xf>
    <xf numFmtId="10" fontId="0" fillId="0" borderId="0" xfId="0" applyNumberFormat="1" applyProtection="1">
      <protection locked="0"/>
    </xf>
    <xf numFmtId="0" fontId="13" fillId="3" borderId="13" xfId="0" applyFont="1" applyFill="1" applyBorder="1" applyAlignment="1" applyProtection="1">
      <alignment vertical="center"/>
      <protection locked="0"/>
    </xf>
    <xf numFmtId="0" fontId="13" fillId="3" borderId="17" xfId="0" applyFont="1" applyFill="1" applyBorder="1" applyAlignment="1" applyProtection="1">
      <alignment vertical="center"/>
      <protection locked="0"/>
    </xf>
    <xf numFmtId="0" fontId="6" fillId="2" borderId="9" xfId="0" applyFont="1" applyFill="1" applyBorder="1" applyAlignment="1" applyProtection="1">
      <alignment vertical="center"/>
      <protection locked="0"/>
    </xf>
    <xf numFmtId="0" fontId="13" fillId="3" borderId="5" xfId="0" applyFont="1" applyFill="1" applyBorder="1" applyProtection="1">
      <protection locked="0"/>
    </xf>
    <xf numFmtId="0" fontId="13" fillId="3" borderId="7" xfId="0" applyFont="1" applyFill="1" applyBorder="1" applyProtection="1">
      <protection locked="0"/>
    </xf>
    <xf numFmtId="0" fontId="13" fillId="3" borderId="11" xfId="0" applyFont="1" applyFill="1" applyBorder="1" applyAlignment="1" applyProtection="1">
      <alignment vertical="center"/>
      <protection locked="0"/>
    </xf>
    <xf numFmtId="0" fontId="13" fillId="3" borderId="12" xfId="0" applyFont="1" applyFill="1" applyBorder="1" applyAlignment="1" applyProtection="1">
      <alignment vertical="center"/>
      <protection locked="0"/>
    </xf>
    <xf numFmtId="0" fontId="17" fillId="7" borderId="20" xfId="0" applyFont="1" applyFill="1" applyBorder="1" applyAlignment="1">
      <alignment horizontal="center" vertical="center" wrapText="1"/>
    </xf>
    <xf numFmtId="0" fontId="17" fillId="7" borderId="20" xfId="0" applyFont="1" applyFill="1" applyBorder="1" applyAlignment="1" applyProtection="1">
      <alignment horizontal="center" vertical="center" wrapText="1"/>
      <protection locked="0"/>
    </xf>
    <xf numFmtId="0" fontId="17" fillId="6" borderId="20" xfId="0" applyFont="1" applyFill="1" applyBorder="1" applyAlignment="1" applyProtection="1">
      <alignment horizontal="center" vertical="center" wrapText="1"/>
      <protection locked="0"/>
    </xf>
    <xf numFmtId="0" fontId="17" fillId="7" borderId="23" xfId="0" applyFont="1" applyFill="1" applyBorder="1" applyAlignment="1">
      <alignment horizontal="center" vertical="center"/>
    </xf>
    <xf numFmtId="0" fontId="14" fillId="6" borderId="23" xfId="0" applyFont="1" applyFill="1" applyBorder="1" applyAlignment="1">
      <alignment horizontal="center" vertical="center"/>
    </xf>
    <xf numFmtId="0" fontId="17" fillId="7" borderId="22" xfId="0" applyFont="1" applyFill="1" applyBorder="1" applyAlignment="1">
      <alignment horizontal="center" vertical="center" wrapText="1"/>
    </xf>
    <xf numFmtId="0" fontId="20" fillId="6" borderId="22" xfId="0" applyFont="1" applyFill="1" applyBorder="1" applyAlignment="1">
      <alignment horizontal="center" vertical="center" wrapText="1"/>
    </xf>
    <xf numFmtId="0" fontId="17" fillId="7" borderId="26" xfId="0" applyFont="1" applyFill="1" applyBorder="1" applyAlignment="1">
      <alignment horizontal="center" vertical="center" wrapText="1"/>
    </xf>
    <xf numFmtId="49" fontId="19" fillId="6" borderId="27" xfId="0" applyNumberFormat="1" applyFont="1" applyFill="1" applyBorder="1" applyAlignment="1">
      <alignment horizontal="left" vertical="top" wrapText="1"/>
    </xf>
    <xf numFmtId="0" fontId="18" fillId="2" borderId="20" xfId="0" applyFont="1" applyFill="1" applyBorder="1" applyAlignment="1" applyProtection="1">
      <alignment horizontal="center" vertical="center"/>
      <protection locked="0"/>
    </xf>
    <xf numFmtId="0" fontId="21" fillId="2" borderId="23" xfId="0" applyFont="1" applyFill="1" applyBorder="1" applyAlignment="1" applyProtection="1">
      <alignment horizontal="center" vertical="center"/>
      <protection locked="0"/>
    </xf>
    <xf numFmtId="0" fontId="21" fillId="2" borderId="25" xfId="0" applyFont="1" applyFill="1" applyBorder="1" applyAlignment="1" applyProtection="1">
      <alignment horizontal="center" vertical="center"/>
      <protection locked="0"/>
    </xf>
    <xf numFmtId="0" fontId="21" fillId="2" borderId="24" xfId="0" applyFont="1" applyFill="1" applyBorder="1" applyAlignment="1" applyProtection="1">
      <alignment horizontal="center" vertical="center"/>
      <protection locked="0"/>
    </xf>
    <xf numFmtId="0" fontId="21" fillId="2" borderId="22" xfId="0" applyFont="1" applyFill="1" applyBorder="1" applyAlignment="1" applyProtection="1">
      <alignment horizontal="center" vertical="center"/>
      <protection locked="0"/>
    </xf>
    <xf numFmtId="0" fontId="7" fillId="3" borderId="16" xfId="0" applyFont="1" applyFill="1" applyBorder="1" applyAlignment="1">
      <alignment horizontal="center" vertical="center" wrapText="1"/>
    </xf>
    <xf numFmtId="0" fontId="7" fillId="3" borderId="0" xfId="0" applyFont="1" applyFill="1" applyAlignment="1">
      <alignment horizontal="center" vertical="center" wrapText="1"/>
    </xf>
    <xf numFmtId="0" fontId="3" fillId="2" borderId="2" xfId="0" applyFont="1" applyFill="1" applyBorder="1" applyAlignment="1" applyProtection="1">
      <alignment horizontal="center" vertical="center"/>
      <protection locked="0"/>
    </xf>
    <xf numFmtId="0" fontId="3" fillId="2" borderId="3" xfId="0" applyFont="1" applyFill="1" applyBorder="1" applyAlignment="1" applyProtection="1">
      <alignment horizontal="center" vertical="center"/>
      <protection locked="0"/>
    </xf>
    <xf numFmtId="0" fontId="0" fillId="2" borderId="6" xfId="0" applyFill="1" applyBorder="1" applyProtection="1">
      <protection locked="0"/>
    </xf>
    <xf numFmtId="0" fontId="0" fillId="2" borderId="0" xfId="0" applyFill="1" applyProtection="1">
      <protection locked="0"/>
    </xf>
    <xf numFmtId="0" fontId="0" fillId="2" borderId="18" xfId="0" applyFill="1" applyBorder="1" applyProtection="1">
      <protection locked="0"/>
    </xf>
    <xf numFmtId="0" fontId="0" fillId="2" borderId="15" xfId="0" applyFill="1" applyBorder="1" applyProtection="1">
      <protection locked="0"/>
    </xf>
    <xf numFmtId="0" fontId="13" fillId="3" borderId="13" xfId="0" applyFont="1" applyFill="1" applyBorder="1" applyAlignment="1" applyProtection="1">
      <alignment horizontal="center" vertical="center"/>
      <protection locked="0"/>
    </xf>
    <xf numFmtId="0" fontId="13" fillId="3" borderId="17" xfId="0" applyFont="1" applyFill="1" applyBorder="1" applyAlignment="1" applyProtection="1">
      <alignment horizontal="center" vertical="center"/>
      <protection locked="0"/>
    </xf>
    <xf numFmtId="0" fontId="1" fillId="0" borderId="0" xfId="0" applyFont="1" applyFill="1" applyProtection="1">
      <protection locked="0"/>
    </xf>
    <xf numFmtId="0" fontId="15" fillId="0" borderId="0" xfId="0" applyFont="1" applyFill="1" applyProtection="1">
      <protection locked="0"/>
    </xf>
    <xf numFmtId="0" fontId="1" fillId="0" borderId="0" xfId="0" applyFont="1" applyFill="1" applyAlignment="1" applyProtection="1">
      <alignment horizontal="left" vertical="center"/>
      <protection locked="0"/>
    </xf>
    <xf numFmtId="0" fontId="1" fillId="0" borderId="0" xfId="0" applyFont="1" applyFill="1" applyAlignment="1" applyProtection="1">
      <alignment wrapText="1"/>
      <protection locked="0"/>
    </xf>
    <xf numFmtId="0" fontId="5" fillId="2" borderId="10" xfId="0" applyFont="1" applyFill="1" applyBorder="1" applyAlignment="1" applyProtection="1">
      <alignment horizontal="center" vertical="center"/>
      <protection locked="0"/>
    </xf>
    <xf numFmtId="0" fontId="5" fillId="2" borderId="0"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protection locked="0"/>
    </xf>
    <xf numFmtId="165" fontId="5" fillId="2" borderId="13" xfId="0" applyNumberFormat="1" applyFont="1" applyFill="1" applyBorder="1" applyAlignment="1" applyProtection="1">
      <alignment horizontal="center" vertical="center"/>
      <protection locked="0"/>
    </xf>
  </cellXfs>
  <cellStyles count="2">
    <cellStyle name="Hyperlink" xfId="1" builtinId="8"/>
    <cellStyle name="Normal" xfId="0" builtinId="0"/>
  </cellStyles>
  <dxfs count="3">
    <dxf>
      <font>
        <condense val="0"/>
        <extend val="0"/>
        <color rgb="FF9C0006"/>
      </font>
      <fill>
        <patternFill>
          <bgColor rgb="FFFFC7CE"/>
        </patternFill>
      </fill>
    </dxf>
    <dxf>
      <font>
        <condense val="0"/>
        <extend val="0"/>
        <color rgb="FF9C0006"/>
      </font>
      <fill>
        <patternFill>
          <bgColor rgb="FFFFC7CE"/>
        </patternFill>
      </fill>
    </dxf>
    <dxf>
      <font>
        <color rgb="FFFF0000"/>
      </font>
      <fill>
        <patternFill>
          <bgColor rgb="FFFFC7CE"/>
        </patternFill>
      </fill>
    </dxf>
  </dxfs>
  <tableStyles count="0" defaultTableStyle="TableStyleMedium9" defaultPivotStyle="PivotStyleLight16"/>
  <colors>
    <mruColors>
      <color rgb="FFFF0000"/>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xceldatapro.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1"/>
  <sheetViews>
    <sheetView tabSelected="1" topLeftCell="A3" zoomScale="60" zoomScaleNormal="60" zoomScaleSheetLayoutView="80" workbookViewId="0">
      <pane xSplit="2" ySplit="4" topLeftCell="C7" activePane="bottomRight" state="frozen"/>
      <selection activeCell="A3" sqref="A3"/>
      <selection pane="topRight" activeCell="C3" sqref="C3"/>
      <selection pane="bottomLeft" activeCell="A6" sqref="A6"/>
      <selection pane="bottomRight" activeCell="B8" sqref="B8"/>
    </sheetView>
  </sheetViews>
  <sheetFormatPr defaultColWidth="9.109375" defaultRowHeight="35.4"/>
  <cols>
    <col min="1" max="1" width="7.44140625" style="17" customWidth="1"/>
    <col min="2" max="2" width="142.88671875" style="18" customWidth="1"/>
    <col min="3" max="6" width="35.88671875" style="18" customWidth="1"/>
    <col min="7" max="7" width="23.5546875" style="19" customWidth="1"/>
    <col min="8" max="26" width="9.109375" style="74"/>
    <col min="27" max="16384" width="9.109375" style="9"/>
  </cols>
  <sheetData>
    <row r="1" spans="1:26" ht="61.5" hidden="1" customHeight="1" thickBot="1">
      <c r="A1" s="5" t="s">
        <v>23</v>
      </c>
      <c r="B1" s="6"/>
      <c r="C1" s="7"/>
      <c r="D1" s="7"/>
      <c r="E1" s="7"/>
      <c r="F1" s="7"/>
      <c r="G1" s="8"/>
    </row>
    <row r="2" spans="1:26" ht="39.75" hidden="1" customHeight="1" thickBot="1">
      <c r="A2" s="10" t="s">
        <v>24</v>
      </c>
      <c r="B2" s="11"/>
      <c r="C2" s="12"/>
      <c r="D2" s="12"/>
      <c r="E2" s="12"/>
      <c r="F2" s="12"/>
      <c r="G2" s="13"/>
    </row>
    <row r="3" spans="1:26" ht="39.75" customHeight="1">
      <c r="A3" s="59" t="s">
        <v>36</v>
      </c>
      <c r="B3" s="59"/>
      <c r="C3" s="59"/>
      <c r="D3" s="59"/>
      <c r="E3" s="59"/>
      <c r="F3" s="59"/>
      <c r="G3" s="59"/>
    </row>
    <row r="4" spans="1:26" ht="39.75" customHeight="1">
      <c r="A4" s="59"/>
      <c r="B4" s="59"/>
      <c r="C4" s="59"/>
      <c r="D4" s="59"/>
      <c r="E4" s="59"/>
      <c r="F4" s="59"/>
      <c r="G4" s="59"/>
    </row>
    <row r="5" spans="1:26" ht="39.75" customHeight="1" thickBot="1">
      <c r="A5" s="60" t="s">
        <v>31</v>
      </c>
      <c r="B5" s="61"/>
      <c r="C5" s="62"/>
      <c r="D5" s="62"/>
      <c r="E5" s="62"/>
      <c r="F5" s="62"/>
      <c r="G5" s="63"/>
    </row>
    <row r="6" spans="1:26" s="14" customFormat="1" ht="69.599999999999994">
      <c r="A6" s="53" t="s">
        <v>26</v>
      </c>
      <c r="B6" s="57" t="s">
        <v>27</v>
      </c>
      <c r="C6" s="55" t="s">
        <v>0</v>
      </c>
      <c r="D6" s="50" t="s">
        <v>1</v>
      </c>
      <c r="E6" s="50" t="s">
        <v>2</v>
      </c>
      <c r="F6" s="50" t="s">
        <v>3</v>
      </c>
      <c r="G6" s="51" t="s">
        <v>28</v>
      </c>
      <c r="H6" s="75"/>
      <c r="I6" s="75"/>
      <c r="J6" s="75"/>
      <c r="K6" s="75"/>
      <c r="L6" s="75"/>
      <c r="M6" s="75"/>
      <c r="N6" s="75"/>
      <c r="O6" s="75"/>
      <c r="P6" s="75"/>
      <c r="Q6" s="75"/>
      <c r="R6" s="75"/>
      <c r="S6" s="75"/>
      <c r="T6" s="75"/>
      <c r="U6" s="75"/>
      <c r="V6" s="75"/>
      <c r="W6" s="75"/>
      <c r="X6" s="75"/>
      <c r="Y6" s="75"/>
      <c r="Z6" s="75"/>
    </row>
    <row r="7" spans="1:26" s="15" customFormat="1" ht="182.4">
      <c r="A7" s="54">
        <v>1</v>
      </c>
      <c r="B7" s="58" t="s">
        <v>37</v>
      </c>
      <c r="C7" s="56" t="s">
        <v>77</v>
      </c>
      <c r="D7" s="20" t="s">
        <v>78</v>
      </c>
      <c r="E7" s="20" t="s">
        <v>79</v>
      </c>
      <c r="F7" s="20" t="s">
        <v>80</v>
      </c>
      <c r="G7" s="52"/>
      <c r="H7" s="76"/>
      <c r="I7" s="76"/>
      <c r="J7" s="76"/>
      <c r="K7" s="76"/>
      <c r="L7" s="76"/>
      <c r="M7" s="76"/>
      <c r="N7" s="76"/>
      <c r="O7" s="76"/>
      <c r="P7" s="76"/>
      <c r="Q7" s="76"/>
      <c r="R7" s="76"/>
      <c r="S7" s="76"/>
      <c r="T7" s="76"/>
      <c r="U7" s="76"/>
      <c r="V7" s="76"/>
      <c r="W7" s="76"/>
      <c r="X7" s="76"/>
      <c r="Y7" s="76"/>
      <c r="Z7" s="76"/>
    </row>
    <row r="8" spans="1:26" ht="182.4">
      <c r="A8" s="54">
        <v>2</v>
      </c>
      <c r="B8" s="58" t="s">
        <v>38</v>
      </c>
      <c r="C8" s="56" t="s">
        <v>81</v>
      </c>
      <c r="D8" s="20" t="s">
        <v>82</v>
      </c>
      <c r="E8" s="20" t="s">
        <v>83</v>
      </c>
      <c r="F8" s="20" t="s">
        <v>84</v>
      </c>
      <c r="G8" s="52"/>
    </row>
    <row r="9" spans="1:26" ht="228">
      <c r="A9" s="54">
        <v>3</v>
      </c>
      <c r="B9" s="58" t="s">
        <v>39</v>
      </c>
      <c r="C9" s="56" t="s">
        <v>85</v>
      </c>
      <c r="D9" s="20" t="s">
        <v>86</v>
      </c>
      <c r="E9" s="20" t="s">
        <v>87</v>
      </c>
      <c r="F9" s="20" t="s">
        <v>88</v>
      </c>
      <c r="G9" s="52"/>
    </row>
    <row r="10" spans="1:26" ht="114">
      <c r="A10" s="54">
        <v>4</v>
      </c>
      <c r="B10" s="58" t="s">
        <v>40</v>
      </c>
      <c r="C10" s="56" t="s">
        <v>89</v>
      </c>
      <c r="D10" s="20" t="s">
        <v>90</v>
      </c>
      <c r="E10" s="20" t="s">
        <v>91</v>
      </c>
      <c r="F10" s="20" t="s">
        <v>92</v>
      </c>
      <c r="G10" s="52"/>
    </row>
    <row r="11" spans="1:26" ht="136.80000000000001">
      <c r="A11" s="54">
        <v>5</v>
      </c>
      <c r="B11" s="58" t="s">
        <v>41</v>
      </c>
      <c r="C11" s="56" t="s">
        <v>93</v>
      </c>
      <c r="D11" s="20" t="s">
        <v>94</v>
      </c>
      <c r="E11" s="20" t="s">
        <v>95</v>
      </c>
      <c r="F11" s="20" t="s">
        <v>96</v>
      </c>
      <c r="G11" s="52"/>
    </row>
    <row r="12" spans="1:26" s="16" customFormat="1" ht="114">
      <c r="A12" s="54">
        <v>6</v>
      </c>
      <c r="B12" s="58" t="s">
        <v>42</v>
      </c>
      <c r="C12" s="56" t="s">
        <v>97</v>
      </c>
      <c r="D12" s="20" t="s">
        <v>98</v>
      </c>
      <c r="E12" s="20" t="s">
        <v>99</v>
      </c>
      <c r="F12" s="20" t="s">
        <v>100</v>
      </c>
      <c r="G12" s="52"/>
      <c r="H12" s="77"/>
      <c r="I12" s="77"/>
      <c r="J12" s="77"/>
      <c r="K12" s="77"/>
      <c r="L12" s="77"/>
      <c r="M12" s="77"/>
      <c r="N12" s="77"/>
      <c r="O12" s="77"/>
      <c r="P12" s="77"/>
      <c r="Q12" s="77"/>
      <c r="R12" s="77"/>
      <c r="S12" s="77"/>
      <c r="T12" s="77"/>
      <c r="U12" s="77"/>
      <c r="V12" s="77"/>
      <c r="W12" s="77"/>
      <c r="X12" s="77"/>
      <c r="Y12" s="77"/>
      <c r="Z12" s="77"/>
    </row>
    <row r="13" spans="1:26" s="16" customFormat="1" ht="114">
      <c r="A13" s="54">
        <v>7</v>
      </c>
      <c r="B13" s="58" t="s">
        <v>43</v>
      </c>
      <c r="C13" s="56" t="s">
        <v>101</v>
      </c>
      <c r="D13" s="20" t="s">
        <v>102</v>
      </c>
      <c r="E13" s="20" t="s">
        <v>103</v>
      </c>
      <c r="F13" s="20" t="s">
        <v>104</v>
      </c>
      <c r="G13" s="52"/>
      <c r="H13" s="77"/>
      <c r="I13" s="77"/>
      <c r="J13" s="77"/>
      <c r="K13" s="77"/>
      <c r="L13" s="77"/>
      <c r="M13" s="77"/>
      <c r="N13" s="77"/>
      <c r="O13" s="77"/>
      <c r="P13" s="77"/>
      <c r="Q13" s="77"/>
      <c r="R13" s="77"/>
      <c r="S13" s="77"/>
      <c r="T13" s="77"/>
      <c r="U13" s="77"/>
      <c r="V13" s="77"/>
      <c r="W13" s="77"/>
      <c r="X13" s="77"/>
      <c r="Y13" s="77"/>
      <c r="Z13" s="77"/>
    </row>
    <row r="14" spans="1:26" s="16" customFormat="1" ht="205.2">
      <c r="A14" s="54">
        <v>8</v>
      </c>
      <c r="B14" s="58" t="s">
        <v>44</v>
      </c>
      <c r="C14" s="56" t="s">
        <v>105</v>
      </c>
      <c r="D14" s="20" t="s">
        <v>106</v>
      </c>
      <c r="E14" s="20" t="s">
        <v>107</v>
      </c>
      <c r="F14" s="20" t="s">
        <v>108</v>
      </c>
      <c r="G14" s="52"/>
      <c r="H14" s="77"/>
      <c r="I14" s="77"/>
      <c r="J14" s="77"/>
      <c r="K14" s="77"/>
      <c r="L14" s="77"/>
      <c r="M14" s="77"/>
      <c r="N14" s="77"/>
      <c r="O14" s="77"/>
      <c r="P14" s="77"/>
      <c r="Q14" s="77"/>
      <c r="R14" s="77"/>
      <c r="S14" s="77"/>
      <c r="T14" s="77"/>
      <c r="U14" s="77"/>
      <c r="V14" s="77"/>
      <c r="W14" s="77"/>
      <c r="X14" s="77"/>
      <c r="Y14" s="77"/>
      <c r="Z14" s="77"/>
    </row>
    <row r="15" spans="1:26" s="16" customFormat="1" ht="114">
      <c r="A15" s="54">
        <v>9</v>
      </c>
      <c r="B15" s="58" t="s">
        <v>45</v>
      </c>
      <c r="C15" s="56" t="s">
        <v>109</v>
      </c>
      <c r="D15" s="20" t="s">
        <v>110</v>
      </c>
      <c r="E15" s="20" t="s">
        <v>111</v>
      </c>
      <c r="F15" s="20" t="s">
        <v>112</v>
      </c>
      <c r="G15" s="52"/>
      <c r="H15" s="77"/>
      <c r="I15" s="77"/>
      <c r="J15" s="77"/>
      <c r="K15" s="77"/>
      <c r="L15" s="77"/>
      <c r="M15" s="77"/>
      <c r="N15" s="77"/>
      <c r="O15" s="77"/>
      <c r="P15" s="77"/>
      <c r="Q15" s="77"/>
      <c r="R15" s="77"/>
      <c r="S15" s="77"/>
      <c r="T15" s="77"/>
      <c r="U15" s="77"/>
      <c r="V15" s="77"/>
      <c r="W15" s="77"/>
      <c r="X15" s="77"/>
      <c r="Y15" s="77"/>
      <c r="Z15" s="77"/>
    </row>
    <row r="16" spans="1:26" s="16" customFormat="1" ht="34.799999999999997">
      <c r="A16" s="54">
        <v>10</v>
      </c>
      <c r="B16" s="58" t="s">
        <v>46</v>
      </c>
      <c r="C16" s="56" t="s">
        <v>113</v>
      </c>
      <c r="D16" s="20" t="s">
        <v>114</v>
      </c>
      <c r="E16" s="20" t="s">
        <v>115</v>
      </c>
      <c r="F16" s="20" t="s">
        <v>116</v>
      </c>
      <c r="G16" s="52"/>
      <c r="H16" s="77"/>
      <c r="I16" s="77"/>
      <c r="J16" s="77"/>
      <c r="K16" s="77"/>
      <c r="L16" s="77"/>
      <c r="M16" s="77"/>
      <c r="N16" s="77"/>
      <c r="O16" s="77"/>
      <c r="P16" s="77"/>
      <c r="Q16" s="77"/>
      <c r="R16" s="77"/>
      <c r="S16" s="77"/>
      <c r="T16" s="77"/>
      <c r="U16" s="77"/>
      <c r="V16" s="77"/>
      <c r="W16" s="77"/>
      <c r="X16" s="77"/>
      <c r="Y16" s="77"/>
      <c r="Z16" s="77"/>
    </row>
    <row r="17" spans="1:26" s="16" customFormat="1" ht="68.400000000000006">
      <c r="A17" s="54">
        <v>11</v>
      </c>
      <c r="B17" s="58" t="s">
        <v>47</v>
      </c>
      <c r="C17" s="56" t="s">
        <v>117</v>
      </c>
      <c r="D17" s="20" t="s">
        <v>118</v>
      </c>
      <c r="E17" s="20" t="s">
        <v>119</v>
      </c>
      <c r="F17" s="20" t="s">
        <v>120</v>
      </c>
      <c r="G17" s="52"/>
      <c r="H17" s="77"/>
      <c r="I17" s="77"/>
      <c r="J17" s="77"/>
      <c r="K17" s="77"/>
      <c r="L17" s="77"/>
      <c r="M17" s="77"/>
      <c r="N17" s="77"/>
      <c r="O17" s="77"/>
      <c r="P17" s="77"/>
      <c r="Q17" s="77"/>
      <c r="R17" s="77"/>
      <c r="S17" s="77"/>
      <c r="T17" s="77"/>
      <c r="U17" s="77"/>
      <c r="V17" s="77"/>
      <c r="W17" s="77"/>
      <c r="X17" s="77"/>
      <c r="Y17" s="77"/>
      <c r="Z17" s="77"/>
    </row>
    <row r="18" spans="1:26" s="16" customFormat="1" ht="68.400000000000006">
      <c r="A18" s="54">
        <v>12</v>
      </c>
      <c r="B18" s="58" t="s">
        <v>48</v>
      </c>
      <c r="C18" s="56" t="s">
        <v>119</v>
      </c>
      <c r="D18" s="20" t="s">
        <v>121</v>
      </c>
      <c r="E18" s="20" t="s">
        <v>122</v>
      </c>
      <c r="F18" s="20" t="s">
        <v>123</v>
      </c>
      <c r="G18" s="52"/>
      <c r="H18" s="77"/>
      <c r="I18" s="77"/>
      <c r="J18" s="77"/>
      <c r="K18" s="77"/>
      <c r="L18" s="77"/>
      <c r="M18" s="77"/>
      <c r="N18" s="77"/>
      <c r="O18" s="77"/>
      <c r="P18" s="77"/>
      <c r="Q18" s="77"/>
      <c r="R18" s="77"/>
      <c r="S18" s="77"/>
      <c r="T18" s="77"/>
      <c r="U18" s="77"/>
      <c r="V18" s="77"/>
      <c r="W18" s="77"/>
      <c r="X18" s="77"/>
      <c r="Y18" s="77"/>
      <c r="Z18" s="77"/>
    </row>
    <row r="19" spans="1:26" s="16" customFormat="1" ht="45.6">
      <c r="A19" s="54">
        <v>13</v>
      </c>
      <c r="B19" s="58" t="s">
        <v>49</v>
      </c>
      <c r="C19" s="56" t="s">
        <v>124</v>
      </c>
      <c r="D19" s="20" t="s">
        <v>125</v>
      </c>
      <c r="E19" s="20" t="s">
        <v>126</v>
      </c>
      <c r="F19" s="20" t="s">
        <v>127</v>
      </c>
      <c r="G19" s="52"/>
      <c r="H19" s="77"/>
      <c r="I19" s="77"/>
      <c r="J19" s="77"/>
      <c r="K19" s="77"/>
      <c r="L19" s="77"/>
      <c r="M19" s="77"/>
      <c r="N19" s="77"/>
      <c r="O19" s="77"/>
      <c r="P19" s="77"/>
      <c r="Q19" s="77"/>
      <c r="R19" s="77"/>
      <c r="S19" s="77"/>
      <c r="T19" s="77"/>
      <c r="U19" s="77"/>
      <c r="V19" s="77"/>
      <c r="W19" s="77"/>
      <c r="X19" s="77"/>
      <c r="Y19" s="77"/>
      <c r="Z19" s="77"/>
    </row>
    <row r="20" spans="1:26" s="16" customFormat="1" ht="68.400000000000006">
      <c r="A20" s="54">
        <v>14</v>
      </c>
      <c r="B20" s="58" t="s">
        <v>50</v>
      </c>
      <c r="C20" s="56" t="s">
        <v>119</v>
      </c>
      <c r="D20" s="20" t="s">
        <v>128</v>
      </c>
      <c r="E20" s="20" t="s">
        <v>129</v>
      </c>
      <c r="F20" s="20" t="s">
        <v>130</v>
      </c>
      <c r="G20" s="52"/>
      <c r="H20" s="77"/>
      <c r="I20" s="77"/>
      <c r="J20" s="77"/>
      <c r="K20" s="77"/>
      <c r="L20" s="77"/>
      <c r="M20" s="77"/>
      <c r="N20" s="77"/>
      <c r="O20" s="77"/>
      <c r="P20" s="77"/>
      <c r="Q20" s="77"/>
      <c r="R20" s="77"/>
      <c r="S20" s="77"/>
      <c r="T20" s="77"/>
      <c r="U20" s="77"/>
      <c r="V20" s="77"/>
      <c r="W20" s="77"/>
      <c r="X20" s="77"/>
      <c r="Y20" s="77"/>
      <c r="Z20" s="77"/>
    </row>
    <row r="21" spans="1:26" s="16" customFormat="1" ht="34.799999999999997">
      <c r="A21" s="54">
        <v>15</v>
      </c>
      <c r="B21" s="58" t="s">
        <v>51</v>
      </c>
      <c r="C21" s="56" t="s">
        <v>131</v>
      </c>
      <c r="D21" s="20" t="s">
        <v>132</v>
      </c>
      <c r="E21" s="20" t="s">
        <v>133</v>
      </c>
      <c r="F21" s="20" t="s">
        <v>134</v>
      </c>
      <c r="G21" s="52"/>
      <c r="H21" s="77"/>
      <c r="I21" s="77"/>
      <c r="J21" s="77"/>
      <c r="K21" s="77"/>
      <c r="L21" s="77"/>
      <c r="M21" s="77"/>
      <c r="N21" s="77"/>
      <c r="O21" s="77"/>
      <c r="P21" s="77"/>
      <c r="Q21" s="77"/>
      <c r="R21" s="77"/>
      <c r="S21" s="77"/>
      <c r="T21" s="77"/>
      <c r="U21" s="77"/>
      <c r="V21" s="77"/>
      <c r="W21" s="77"/>
      <c r="X21" s="77"/>
      <c r="Y21" s="77"/>
      <c r="Z21" s="77"/>
    </row>
    <row r="22" spans="1:26" s="16" customFormat="1" ht="75.599999999999994">
      <c r="A22" s="54">
        <v>16</v>
      </c>
      <c r="B22" s="58" t="s">
        <v>52</v>
      </c>
      <c r="C22" s="56" t="s">
        <v>135</v>
      </c>
      <c r="D22" s="20" t="s">
        <v>136</v>
      </c>
      <c r="E22" s="20" t="s">
        <v>137</v>
      </c>
      <c r="F22" s="20" t="s">
        <v>119</v>
      </c>
      <c r="G22" s="52"/>
      <c r="H22" s="77"/>
      <c r="I22" s="77"/>
      <c r="J22" s="77"/>
      <c r="K22" s="77"/>
      <c r="L22" s="77"/>
      <c r="M22" s="77"/>
      <c r="N22" s="77"/>
      <c r="O22" s="77"/>
      <c r="P22" s="77"/>
      <c r="Q22" s="77"/>
      <c r="R22" s="77"/>
      <c r="S22" s="77"/>
      <c r="T22" s="77"/>
      <c r="U22" s="77"/>
      <c r="V22" s="77"/>
      <c r="W22" s="77"/>
      <c r="X22" s="77"/>
      <c r="Y22" s="77"/>
      <c r="Z22" s="77"/>
    </row>
    <row r="23" spans="1:26" s="16" customFormat="1" ht="34.799999999999997">
      <c r="A23" s="54">
        <v>17</v>
      </c>
      <c r="B23" s="58" t="s">
        <v>53</v>
      </c>
      <c r="C23" s="56" t="b">
        <v>1</v>
      </c>
      <c r="D23" s="20" t="s">
        <v>138</v>
      </c>
      <c r="E23" s="20">
        <v>3</v>
      </c>
      <c r="F23" s="20">
        <v>1</v>
      </c>
      <c r="G23" s="52"/>
      <c r="H23" s="77"/>
      <c r="I23" s="77"/>
      <c r="J23" s="77"/>
      <c r="K23" s="77"/>
      <c r="L23" s="77"/>
      <c r="M23" s="77"/>
      <c r="N23" s="77"/>
      <c r="O23" s="77"/>
      <c r="P23" s="77"/>
      <c r="Q23" s="77"/>
      <c r="R23" s="77"/>
      <c r="S23" s="77"/>
      <c r="T23" s="77"/>
      <c r="U23" s="77"/>
      <c r="V23" s="77"/>
      <c r="W23" s="77"/>
      <c r="X23" s="77"/>
      <c r="Y23" s="77"/>
      <c r="Z23" s="77"/>
    </row>
    <row r="24" spans="1:26" s="16" customFormat="1" ht="34.799999999999997">
      <c r="A24" s="54">
        <v>18</v>
      </c>
      <c r="B24" s="58" t="s">
        <v>54</v>
      </c>
      <c r="C24" s="56">
        <v>4</v>
      </c>
      <c r="D24" s="20">
        <v>3.4</v>
      </c>
      <c r="E24" s="20" t="s">
        <v>127</v>
      </c>
      <c r="F24" s="20">
        <v>5</v>
      </c>
      <c r="G24" s="52"/>
      <c r="H24" s="77"/>
      <c r="I24" s="77"/>
      <c r="J24" s="77"/>
      <c r="K24" s="77"/>
      <c r="L24" s="77"/>
      <c r="M24" s="77"/>
      <c r="N24" s="77"/>
      <c r="O24" s="77"/>
      <c r="P24" s="77"/>
      <c r="Q24" s="77"/>
      <c r="R24" s="77"/>
      <c r="S24" s="77"/>
      <c r="T24" s="77"/>
      <c r="U24" s="77"/>
      <c r="V24" s="77"/>
      <c r="W24" s="77"/>
      <c r="X24" s="77"/>
      <c r="Y24" s="77"/>
      <c r="Z24" s="77"/>
    </row>
    <row r="25" spans="1:26" s="16" customFormat="1" ht="34.799999999999997">
      <c r="A25" s="54">
        <v>19</v>
      </c>
      <c r="B25" s="58" t="s">
        <v>55</v>
      </c>
      <c r="C25" s="56">
        <v>1</v>
      </c>
      <c r="D25" s="20" t="s">
        <v>139</v>
      </c>
      <c r="E25" s="20" t="s">
        <v>140</v>
      </c>
      <c r="F25" s="20" t="s">
        <v>141</v>
      </c>
      <c r="G25" s="52"/>
      <c r="H25" s="77"/>
      <c r="I25" s="77"/>
      <c r="J25" s="77"/>
      <c r="K25" s="77"/>
      <c r="L25" s="77"/>
      <c r="M25" s="77"/>
      <c r="N25" s="77"/>
      <c r="O25" s="77"/>
      <c r="P25" s="77"/>
      <c r="Q25" s="77"/>
      <c r="R25" s="77"/>
      <c r="S25" s="77"/>
      <c r="T25" s="77"/>
      <c r="U25" s="77"/>
      <c r="V25" s="77"/>
      <c r="W25" s="77"/>
      <c r="X25" s="77"/>
      <c r="Y25" s="77"/>
      <c r="Z25" s="77"/>
    </row>
    <row r="26" spans="1:26" s="16" customFormat="1" ht="34.799999999999997">
      <c r="A26" s="54">
        <v>20</v>
      </c>
      <c r="B26" s="58" t="s">
        <v>56</v>
      </c>
      <c r="C26" s="56">
        <v>0</v>
      </c>
      <c r="D26" s="20">
        <v>1</v>
      </c>
      <c r="E26" s="20" t="s">
        <v>142</v>
      </c>
      <c r="F26" s="20" t="s">
        <v>141</v>
      </c>
      <c r="G26" s="52"/>
      <c r="H26" s="77"/>
      <c r="I26" s="77"/>
      <c r="J26" s="77"/>
      <c r="K26" s="77"/>
      <c r="L26" s="77"/>
      <c r="M26" s="77"/>
      <c r="N26" s="77"/>
      <c r="O26" s="77"/>
      <c r="P26" s="77"/>
      <c r="Q26" s="77"/>
      <c r="R26" s="77"/>
      <c r="S26" s="77"/>
      <c r="T26" s="77"/>
      <c r="U26" s="77"/>
      <c r="V26" s="77"/>
      <c r="W26" s="77"/>
      <c r="X26" s="77"/>
      <c r="Y26" s="77"/>
      <c r="Z26" s="77"/>
    </row>
    <row r="27" spans="1:26" s="16" customFormat="1" ht="50.4">
      <c r="A27" s="54">
        <v>21</v>
      </c>
      <c r="B27" s="58" t="s">
        <v>57</v>
      </c>
      <c r="C27" s="56" t="s">
        <v>127</v>
      </c>
      <c r="D27" s="20" t="s">
        <v>143</v>
      </c>
      <c r="E27" s="20" t="s">
        <v>144</v>
      </c>
      <c r="F27" s="20" t="s">
        <v>141</v>
      </c>
      <c r="G27" s="52"/>
      <c r="H27" s="77"/>
      <c r="I27" s="77"/>
      <c r="J27" s="77"/>
      <c r="K27" s="77"/>
      <c r="L27" s="77"/>
      <c r="M27" s="77"/>
      <c r="N27" s="77"/>
      <c r="O27" s="77"/>
      <c r="P27" s="77"/>
      <c r="Q27" s="77"/>
      <c r="R27" s="77"/>
      <c r="S27" s="77"/>
      <c r="T27" s="77"/>
      <c r="U27" s="77"/>
      <c r="V27" s="77"/>
      <c r="W27" s="77"/>
      <c r="X27" s="77"/>
      <c r="Y27" s="77"/>
      <c r="Z27" s="77"/>
    </row>
    <row r="28" spans="1:26" s="16" customFormat="1" ht="34.799999999999997">
      <c r="A28" s="54">
        <v>22</v>
      </c>
      <c r="B28" s="58" t="s">
        <v>58</v>
      </c>
      <c r="C28" s="56" t="s">
        <v>145</v>
      </c>
      <c r="D28" s="20" t="s">
        <v>146</v>
      </c>
      <c r="E28" s="20" t="s">
        <v>147</v>
      </c>
      <c r="F28" s="20" t="s">
        <v>148</v>
      </c>
      <c r="G28" s="52"/>
      <c r="H28" s="77"/>
      <c r="I28" s="77"/>
      <c r="J28" s="77"/>
      <c r="K28" s="77"/>
      <c r="L28" s="77"/>
      <c r="M28" s="77"/>
      <c r="N28" s="77"/>
      <c r="O28" s="77"/>
      <c r="P28" s="77"/>
      <c r="Q28" s="77"/>
      <c r="R28" s="77"/>
      <c r="S28" s="77"/>
      <c r="T28" s="77"/>
      <c r="U28" s="77"/>
      <c r="V28" s="77"/>
      <c r="W28" s="77"/>
      <c r="X28" s="77"/>
      <c r="Y28" s="77"/>
      <c r="Z28" s="77"/>
    </row>
    <row r="29" spans="1:26" s="16" customFormat="1" ht="34.799999999999997">
      <c r="A29" s="54">
        <v>23</v>
      </c>
      <c r="B29" s="58" t="s">
        <v>59</v>
      </c>
      <c r="C29" s="56" t="s">
        <v>149</v>
      </c>
      <c r="D29" s="20" t="s">
        <v>150</v>
      </c>
      <c r="E29" s="20" t="s">
        <v>151</v>
      </c>
      <c r="F29" s="20" t="s">
        <v>152</v>
      </c>
      <c r="G29" s="52"/>
      <c r="H29" s="77"/>
      <c r="I29" s="77"/>
      <c r="J29" s="77"/>
      <c r="K29" s="77"/>
      <c r="L29" s="77"/>
      <c r="M29" s="77"/>
      <c r="N29" s="77"/>
      <c r="O29" s="77"/>
      <c r="P29" s="77"/>
      <c r="Q29" s="77"/>
      <c r="R29" s="77"/>
      <c r="S29" s="77"/>
      <c r="T29" s="77"/>
      <c r="U29" s="77"/>
      <c r="V29" s="77"/>
      <c r="W29" s="77"/>
      <c r="X29" s="77"/>
      <c r="Y29" s="77"/>
      <c r="Z29" s="77"/>
    </row>
    <row r="30" spans="1:26" s="16" customFormat="1" ht="45.6">
      <c r="A30" s="54">
        <v>24</v>
      </c>
      <c r="B30" s="58" t="s">
        <v>60</v>
      </c>
      <c r="C30" s="56">
        <v>1</v>
      </c>
      <c r="D30" s="20">
        <v>2</v>
      </c>
      <c r="E30" s="20">
        <v>3</v>
      </c>
      <c r="F30" s="20">
        <v>4</v>
      </c>
      <c r="G30" s="52"/>
      <c r="H30" s="77"/>
      <c r="I30" s="77"/>
      <c r="J30" s="77"/>
      <c r="K30" s="77"/>
      <c r="L30" s="77"/>
      <c r="M30" s="77"/>
      <c r="N30" s="77"/>
      <c r="O30" s="77"/>
      <c r="P30" s="77"/>
      <c r="Q30" s="77"/>
      <c r="R30" s="77"/>
      <c r="S30" s="77"/>
      <c r="T30" s="77"/>
      <c r="U30" s="77"/>
      <c r="V30" s="77"/>
      <c r="W30" s="77"/>
      <c r="X30" s="77"/>
      <c r="Y30" s="77"/>
      <c r="Z30" s="77"/>
    </row>
    <row r="31" spans="1:26" s="16" customFormat="1" ht="34.799999999999997">
      <c r="A31" s="54">
        <v>25</v>
      </c>
      <c r="B31" s="58" t="s">
        <v>61</v>
      </c>
      <c r="C31" s="56" t="s">
        <v>153</v>
      </c>
      <c r="D31" s="20" t="s">
        <v>154</v>
      </c>
      <c r="E31" s="20" t="s">
        <v>155</v>
      </c>
      <c r="F31" s="20" t="s">
        <v>156</v>
      </c>
      <c r="G31" s="52"/>
      <c r="H31" s="77"/>
      <c r="I31" s="77"/>
      <c r="J31" s="77"/>
      <c r="K31" s="77"/>
      <c r="L31" s="77"/>
      <c r="M31" s="77"/>
      <c r="N31" s="77"/>
      <c r="O31" s="77"/>
      <c r="P31" s="77"/>
      <c r="Q31" s="77"/>
      <c r="R31" s="77"/>
      <c r="S31" s="77"/>
      <c r="T31" s="77"/>
      <c r="U31" s="77"/>
      <c r="V31" s="77"/>
      <c r="W31" s="77"/>
      <c r="X31" s="77"/>
      <c r="Y31" s="77"/>
      <c r="Z31" s="77"/>
    </row>
    <row r="32" spans="1:26" s="16" customFormat="1" ht="126">
      <c r="A32" s="54">
        <v>26</v>
      </c>
      <c r="B32" s="58" t="s">
        <v>62</v>
      </c>
      <c r="C32" s="56" t="s">
        <v>157</v>
      </c>
      <c r="D32" s="20" t="s">
        <v>158</v>
      </c>
      <c r="E32" s="20" t="s">
        <v>159</v>
      </c>
      <c r="F32" s="20" t="s">
        <v>160</v>
      </c>
      <c r="G32" s="52"/>
      <c r="H32" s="77"/>
      <c r="I32" s="77"/>
      <c r="J32" s="77"/>
      <c r="K32" s="77"/>
      <c r="L32" s="77"/>
      <c r="M32" s="77"/>
      <c r="N32" s="77"/>
      <c r="O32" s="77"/>
      <c r="P32" s="77"/>
      <c r="Q32" s="77"/>
      <c r="R32" s="77"/>
      <c r="S32" s="77"/>
      <c r="T32" s="77"/>
      <c r="U32" s="77"/>
      <c r="V32" s="77"/>
      <c r="W32" s="77"/>
      <c r="X32" s="77"/>
      <c r="Y32" s="77"/>
      <c r="Z32" s="77"/>
    </row>
    <row r="33" spans="1:26" s="16" customFormat="1" ht="201.6">
      <c r="A33" s="54">
        <v>27</v>
      </c>
      <c r="B33" s="58" t="s">
        <v>63</v>
      </c>
      <c r="C33" s="56" t="s">
        <v>161</v>
      </c>
      <c r="D33" s="20" t="s">
        <v>162</v>
      </c>
      <c r="E33" s="20" t="s">
        <v>163</v>
      </c>
      <c r="F33" s="20" t="s">
        <v>164</v>
      </c>
      <c r="G33" s="52"/>
      <c r="H33" s="77"/>
      <c r="I33" s="77"/>
      <c r="J33" s="77"/>
      <c r="K33" s="77"/>
      <c r="L33" s="77"/>
      <c r="M33" s="77"/>
      <c r="N33" s="77"/>
      <c r="O33" s="77"/>
      <c r="P33" s="77"/>
      <c r="Q33" s="77"/>
      <c r="R33" s="77"/>
      <c r="S33" s="77"/>
      <c r="T33" s="77"/>
      <c r="U33" s="77"/>
      <c r="V33" s="77"/>
      <c r="W33" s="77"/>
      <c r="X33" s="77"/>
      <c r="Y33" s="77"/>
      <c r="Z33" s="77"/>
    </row>
    <row r="34" spans="1:26" s="16" customFormat="1" ht="75.599999999999994">
      <c r="A34" s="54">
        <v>28</v>
      </c>
      <c r="B34" s="58" t="s">
        <v>64</v>
      </c>
      <c r="C34" s="56" t="s">
        <v>165</v>
      </c>
      <c r="D34" s="20" t="s">
        <v>166</v>
      </c>
      <c r="E34" s="20" t="s">
        <v>167</v>
      </c>
      <c r="F34" s="20" t="s">
        <v>168</v>
      </c>
      <c r="G34" s="52"/>
      <c r="H34" s="77"/>
      <c r="I34" s="77"/>
      <c r="J34" s="77"/>
      <c r="K34" s="77"/>
      <c r="L34" s="77"/>
      <c r="M34" s="77"/>
      <c r="N34" s="77"/>
      <c r="O34" s="77"/>
      <c r="P34" s="77"/>
      <c r="Q34" s="77"/>
      <c r="R34" s="77"/>
      <c r="S34" s="77"/>
      <c r="T34" s="77"/>
      <c r="U34" s="77"/>
      <c r="V34" s="77"/>
      <c r="W34" s="77"/>
      <c r="X34" s="77"/>
      <c r="Y34" s="77"/>
      <c r="Z34" s="77"/>
    </row>
    <row r="35" spans="1:26" s="16" customFormat="1" ht="45.6">
      <c r="A35" s="54">
        <v>29</v>
      </c>
      <c r="B35" s="58" t="s">
        <v>65</v>
      </c>
      <c r="C35" s="56" t="s">
        <v>169</v>
      </c>
      <c r="D35" s="20" t="s">
        <v>170</v>
      </c>
      <c r="E35" s="20" t="s">
        <v>171</v>
      </c>
      <c r="F35" s="20" t="s">
        <v>172</v>
      </c>
      <c r="G35" s="52"/>
      <c r="H35" s="77"/>
      <c r="I35" s="77"/>
      <c r="J35" s="77"/>
      <c r="K35" s="77"/>
      <c r="L35" s="77"/>
      <c r="M35" s="77"/>
      <c r="N35" s="77"/>
      <c r="O35" s="77"/>
      <c r="P35" s="77"/>
      <c r="Q35" s="77"/>
      <c r="R35" s="77"/>
      <c r="S35" s="77"/>
      <c r="T35" s="77"/>
      <c r="U35" s="77"/>
      <c r="V35" s="77"/>
      <c r="W35" s="77"/>
      <c r="X35" s="77"/>
      <c r="Y35" s="77"/>
      <c r="Z35" s="77"/>
    </row>
    <row r="36" spans="1:26" s="16" customFormat="1" ht="45.6">
      <c r="A36" s="54">
        <v>30</v>
      </c>
      <c r="B36" s="58" t="s">
        <v>66</v>
      </c>
      <c r="C36" s="56" t="s">
        <v>173</v>
      </c>
      <c r="D36" s="20" t="s">
        <v>174</v>
      </c>
      <c r="E36" s="20" t="s">
        <v>175</v>
      </c>
      <c r="F36" s="20" t="s">
        <v>176</v>
      </c>
      <c r="G36" s="52"/>
      <c r="H36" s="77"/>
      <c r="I36" s="77"/>
      <c r="J36" s="77"/>
      <c r="K36" s="77"/>
      <c r="L36" s="77"/>
      <c r="M36" s="77"/>
      <c r="N36" s="77"/>
      <c r="O36" s="77"/>
      <c r="P36" s="77"/>
      <c r="Q36" s="77"/>
      <c r="R36" s="77"/>
      <c r="S36" s="77"/>
      <c r="T36" s="77"/>
      <c r="U36" s="77"/>
      <c r="V36" s="77"/>
      <c r="W36" s="77"/>
      <c r="X36" s="77"/>
      <c r="Y36" s="77"/>
      <c r="Z36" s="77"/>
    </row>
    <row r="37" spans="1:26" s="16" customFormat="1" ht="45.6">
      <c r="A37" s="54">
        <v>31</v>
      </c>
      <c r="B37" s="58" t="s">
        <v>67</v>
      </c>
      <c r="C37" s="56" t="s">
        <v>177</v>
      </c>
      <c r="D37" s="20" t="s">
        <v>178</v>
      </c>
      <c r="E37" s="20" t="s">
        <v>179</v>
      </c>
      <c r="F37" s="20" t="s">
        <v>180</v>
      </c>
      <c r="G37" s="52"/>
      <c r="H37" s="77"/>
      <c r="I37" s="77"/>
      <c r="J37" s="77"/>
      <c r="K37" s="77"/>
      <c r="L37" s="77"/>
      <c r="M37" s="77"/>
      <c r="N37" s="77"/>
      <c r="O37" s="77"/>
      <c r="P37" s="77"/>
      <c r="Q37" s="77"/>
      <c r="R37" s="77"/>
      <c r="S37" s="77"/>
      <c r="T37" s="77"/>
      <c r="U37" s="77"/>
      <c r="V37" s="77"/>
      <c r="W37" s="77"/>
      <c r="X37" s="77"/>
      <c r="Y37" s="77"/>
      <c r="Z37" s="77"/>
    </row>
    <row r="38" spans="1:26" s="16" customFormat="1" ht="50.4">
      <c r="A38" s="54">
        <v>32</v>
      </c>
      <c r="B38" s="58" t="s">
        <v>68</v>
      </c>
      <c r="C38" s="56" t="s">
        <v>181</v>
      </c>
      <c r="D38" s="20" t="s">
        <v>182</v>
      </c>
      <c r="E38" s="20" t="s">
        <v>183</v>
      </c>
      <c r="F38" s="20" t="s">
        <v>141</v>
      </c>
      <c r="G38" s="52"/>
      <c r="H38" s="77"/>
      <c r="I38" s="77"/>
      <c r="J38" s="77"/>
      <c r="K38" s="77"/>
      <c r="L38" s="77"/>
      <c r="M38" s="77"/>
      <c r="N38" s="77"/>
      <c r="O38" s="77"/>
      <c r="P38" s="77"/>
      <c r="Q38" s="77"/>
      <c r="R38" s="77"/>
      <c r="S38" s="77"/>
      <c r="T38" s="77"/>
      <c r="U38" s="77"/>
      <c r="V38" s="77"/>
      <c r="W38" s="77"/>
      <c r="X38" s="77"/>
      <c r="Y38" s="77"/>
      <c r="Z38" s="77"/>
    </row>
    <row r="39" spans="1:26" ht="50.4">
      <c r="A39" s="54">
        <v>33</v>
      </c>
      <c r="B39" s="58" t="s">
        <v>69</v>
      </c>
      <c r="C39" s="56" t="s">
        <v>145</v>
      </c>
      <c r="D39" s="20" t="s">
        <v>184</v>
      </c>
      <c r="E39" s="20" t="s">
        <v>185</v>
      </c>
      <c r="F39" s="20" t="s">
        <v>186</v>
      </c>
      <c r="G39" s="52"/>
    </row>
    <row r="40" spans="1:26" ht="50.4">
      <c r="A40" s="54">
        <v>34</v>
      </c>
      <c r="B40" s="58" t="s">
        <v>70</v>
      </c>
      <c r="C40" s="56" t="s">
        <v>175</v>
      </c>
      <c r="D40" s="20" t="s">
        <v>179</v>
      </c>
      <c r="E40" s="20" t="s">
        <v>153</v>
      </c>
      <c r="F40" s="20" t="s">
        <v>187</v>
      </c>
      <c r="G40" s="52"/>
    </row>
    <row r="41" spans="1:26" ht="75.599999999999994">
      <c r="A41" s="54">
        <v>35</v>
      </c>
      <c r="B41" s="58" t="s">
        <v>71</v>
      </c>
      <c r="C41" s="56" t="s">
        <v>188</v>
      </c>
      <c r="D41" s="20" t="s">
        <v>189</v>
      </c>
      <c r="E41" s="20" t="s">
        <v>190</v>
      </c>
      <c r="F41" s="20" t="s">
        <v>141</v>
      </c>
      <c r="G41" s="52"/>
    </row>
    <row r="42" spans="1:26" ht="223.2" customHeight="1">
      <c r="A42" s="54">
        <v>36</v>
      </c>
      <c r="B42" s="58" t="s">
        <v>72</v>
      </c>
      <c r="C42" s="56" t="s">
        <v>191</v>
      </c>
      <c r="D42" s="20" t="s">
        <v>192</v>
      </c>
      <c r="E42" s="20" t="s">
        <v>193</v>
      </c>
      <c r="F42" s="20" t="s">
        <v>194</v>
      </c>
      <c r="G42" s="52"/>
    </row>
    <row r="43" spans="1:26" ht="34.799999999999997">
      <c r="A43" s="54">
        <v>37</v>
      </c>
      <c r="B43" s="58" t="s">
        <v>73</v>
      </c>
      <c r="C43" s="56" t="s">
        <v>195</v>
      </c>
      <c r="D43" s="20" t="s">
        <v>196</v>
      </c>
      <c r="E43" s="20" t="s">
        <v>197</v>
      </c>
      <c r="F43" s="20" t="s">
        <v>198</v>
      </c>
      <c r="G43" s="52"/>
    </row>
    <row r="44" spans="1:26" ht="34.799999999999997">
      <c r="A44" s="54">
        <v>38</v>
      </c>
      <c r="B44" s="58" t="s">
        <v>74</v>
      </c>
      <c r="C44" s="56" t="s">
        <v>199</v>
      </c>
      <c r="D44" s="20" t="s">
        <v>200</v>
      </c>
      <c r="E44" s="20" t="s">
        <v>201</v>
      </c>
      <c r="F44" s="20" t="s">
        <v>202</v>
      </c>
      <c r="G44" s="52"/>
    </row>
    <row r="45" spans="1:26" ht="34.799999999999997">
      <c r="A45" s="54">
        <v>39</v>
      </c>
      <c r="B45" s="58" t="s">
        <v>75</v>
      </c>
      <c r="C45" s="56" t="s">
        <v>199</v>
      </c>
      <c r="D45" s="20" t="s">
        <v>200</v>
      </c>
      <c r="E45" s="20" t="s">
        <v>201</v>
      </c>
      <c r="F45" s="20" t="s">
        <v>202</v>
      </c>
      <c r="G45" s="52"/>
    </row>
    <row r="46" spans="1:26" ht="34.799999999999997">
      <c r="A46" s="54">
        <v>40</v>
      </c>
      <c r="B46" s="58" t="s">
        <v>76</v>
      </c>
      <c r="C46" s="56" t="s">
        <v>199</v>
      </c>
      <c r="D46" s="20" t="s">
        <v>200</v>
      </c>
      <c r="E46" s="20" t="s">
        <v>201</v>
      </c>
      <c r="F46" s="20" t="s">
        <v>203</v>
      </c>
      <c r="G46" s="52"/>
    </row>
    <row r="47" spans="1:26" ht="50.4">
      <c r="A47" s="54">
        <v>41</v>
      </c>
      <c r="B47" s="58" t="s">
        <v>70</v>
      </c>
      <c r="C47" s="56" t="s">
        <v>227</v>
      </c>
      <c r="D47" s="20" t="s">
        <v>228</v>
      </c>
      <c r="E47" s="20" t="s">
        <v>229</v>
      </c>
      <c r="F47" s="20" t="s">
        <v>230</v>
      </c>
      <c r="G47" s="52"/>
    </row>
    <row r="48" spans="1:26" ht="201.6">
      <c r="A48" s="54">
        <v>42</v>
      </c>
      <c r="B48" s="58" t="s">
        <v>204</v>
      </c>
      <c r="C48" s="56" t="s">
        <v>231</v>
      </c>
      <c r="D48" s="20" t="s">
        <v>232</v>
      </c>
      <c r="E48" s="20" t="s">
        <v>233</v>
      </c>
      <c r="F48" s="20" t="s">
        <v>234</v>
      </c>
      <c r="G48" s="52"/>
    </row>
    <row r="49" spans="1:7" ht="50.4">
      <c r="A49" s="54">
        <v>43</v>
      </c>
      <c r="B49" s="58" t="s">
        <v>205</v>
      </c>
      <c r="C49" s="56" t="s">
        <v>235</v>
      </c>
      <c r="D49" s="20" t="s">
        <v>236</v>
      </c>
      <c r="E49" s="20" t="s">
        <v>237</v>
      </c>
      <c r="F49" s="20" t="s">
        <v>238</v>
      </c>
      <c r="G49" s="52"/>
    </row>
    <row r="50" spans="1:7" ht="34.799999999999997">
      <c r="A50" s="54">
        <v>44</v>
      </c>
      <c r="B50" s="58" t="s">
        <v>206</v>
      </c>
      <c r="C50" s="56" t="s">
        <v>239</v>
      </c>
      <c r="D50" s="20" t="s">
        <v>240</v>
      </c>
      <c r="E50" s="20" t="s">
        <v>241</v>
      </c>
      <c r="F50" s="20" t="s">
        <v>242</v>
      </c>
      <c r="G50" s="52"/>
    </row>
    <row r="51" spans="1:7" ht="34.799999999999997">
      <c r="A51" s="54">
        <v>45</v>
      </c>
      <c r="B51" s="58" t="s">
        <v>207</v>
      </c>
      <c r="C51" s="56" t="s">
        <v>243</v>
      </c>
      <c r="D51" s="20" t="s">
        <v>244</v>
      </c>
      <c r="E51" s="20" t="s">
        <v>245</v>
      </c>
      <c r="F51" s="20" t="s">
        <v>246</v>
      </c>
      <c r="G51" s="52"/>
    </row>
    <row r="52" spans="1:7" ht="34.799999999999997">
      <c r="A52" s="54">
        <v>46</v>
      </c>
      <c r="B52" s="58" t="s">
        <v>208</v>
      </c>
      <c r="C52" s="56" t="s">
        <v>247</v>
      </c>
      <c r="D52" s="20" t="s">
        <v>243</v>
      </c>
      <c r="E52" s="20" t="s">
        <v>248</v>
      </c>
      <c r="F52" s="20" t="s">
        <v>249</v>
      </c>
      <c r="G52" s="52"/>
    </row>
    <row r="53" spans="1:7" ht="75.599999999999994">
      <c r="A53" s="54">
        <v>47</v>
      </c>
      <c r="B53" s="58" t="s">
        <v>209</v>
      </c>
      <c r="C53" s="56" t="s">
        <v>250</v>
      </c>
      <c r="D53" s="20" t="s">
        <v>251</v>
      </c>
      <c r="E53" s="20" t="s">
        <v>252</v>
      </c>
      <c r="F53" s="20" t="s">
        <v>253</v>
      </c>
      <c r="G53" s="52"/>
    </row>
    <row r="54" spans="1:7" ht="126">
      <c r="A54" s="54">
        <v>48</v>
      </c>
      <c r="B54" s="58" t="s">
        <v>210</v>
      </c>
      <c r="C54" s="56" t="s">
        <v>254</v>
      </c>
      <c r="D54" s="20" t="s">
        <v>255</v>
      </c>
      <c r="E54" s="20" t="s">
        <v>256</v>
      </c>
      <c r="F54" s="20" t="s">
        <v>257</v>
      </c>
      <c r="G54" s="52"/>
    </row>
    <row r="55" spans="1:7" ht="319.2">
      <c r="A55" s="54">
        <v>49</v>
      </c>
      <c r="B55" s="58" t="s">
        <v>211</v>
      </c>
      <c r="C55" s="56" t="s">
        <v>258</v>
      </c>
      <c r="D55" s="20" t="s">
        <v>259</v>
      </c>
      <c r="E55" s="20" t="s">
        <v>260</v>
      </c>
      <c r="F55" s="20" t="s">
        <v>261</v>
      </c>
      <c r="G55" s="52"/>
    </row>
    <row r="56" spans="1:7" ht="228">
      <c r="A56" s="54">
        <v>50</v>
      </c>
      <c r="B56" s="58" t="s">
        <v>212</v>
      </c>
      <c r="C56" s="56" t="s">
        <v>262</v>
      </c>
      <c r="D56" s="20">
        <v>1</v>
      </c>
      <c r="E56" s="20">
        <v>10</v>
      </c>
      <c r="F56" s="20" t="s">
        <v>263</v>
      </c>
      <c r="G56" s="52"/>
    </row>
    <row r="57" spans="1:7" ht="252">
      <c r="A57" s="54">
        <v>51</v>
      </c>
      <c r="B57" s="58" t="s">
        <v>213</v>
      </c>
      <c r="C57" s="56" t="s">
        <v>264</v>
      </c>
      <c r="D57" s="20" t="s">
        <v>265</v>
      </c>
      <c r="E57" s="20" t="s">
        <v>266</v>
      </c>
      <c r="F57" s="20" t="s">
        <v>267</v>
      </c>
      <c r="G57" s="52"/>
    </row>
    <row r="58" spans="1:7" ht="252">
      <c r="A58" s="54">
        <v>52</v>
      </c>
      <c r="B58" s="58" t="s">
        <v>214</v>
      </c>
      <c r="C58" s="56" t="s">
        <v>268</v>
      </c>
      <c r="D58" s="20" t="s">
        <v>269</v>
      </c>
      <c r="E58" s="20" t="s">
        <v>270</v>
      </c>
      <c r="F58" s="20" t="s">
        <v>271</v>
      </c>
      <c r="G58" s="52"/>
    </row>
    <row r="59" spans="1:7" ht="34.799999999999997">
      <c r="A59" s="54">
        <v>53</v>
      </c>
      <c r="B59" s="58" t="s">
        <v>215</v>
      </c>
      <c r="C59" s="56">
        <v>0</v>
      </c>
      <c r="D59" s="20">
        <v>1</v>
      </c>
      <c r="E59" s="20" t="s">
        <v>272</v>
      </c>
      <c r="F59" s="20">
        <v>2</v>
      </c>
      <c r="G59" s="52"/>
    </row>
    <row r="60" spans="1:7" ht="409.6">
      <c r="A60" s="54">
        <v>54</v>
      </c>
      <c r="B60" s="58" t="s">
        <v>216</v>
      </c>
      <c r="C60" s="56" t="s">
        <v>273</v>
      </c>
      <c r="D60" s="20" t="s">
        <v>274</v>
      </c>
      <c r="E60" s="20" t="s">
        <v>275</v>
      </c>
      <c r="F60" s="20" t="s">
        <v>276</v>
      </c>
      <c r="G60" s="52"/>
    </row>
    <row r="61" spans="1:7" ht="176.4">
      <c r="A61" s="54">
        <v>55</v>
      </c>
      <c r="B61" s="58" t="s">
        <v>217</v>
      </c>
      <c r="C61" s="56" t="s">
        <v>277</v>
      </c>
      <c r="D61" s="20" t="s">
        <v>278</v>
      </c>
      <c r="E61" s="20" t="s">
        <v>279</v>
      </c>
      <c r="F61" s="20" t="s">
        <v>280</v>
      </c>
      <c r="G61" s="52"/>
    </row>
    <row r="62" spans="1:7" ht="100.8">
      <c r="A62" s="54">
        <v>56</v>
      </c>
      <c r="B62" s="58" t="s">
        <v>218</v>
      </c>
      <c r="C62" s="56" t="s">
        <v>281</v>
      </c>
      <c r="D62" s="20" t="s">
        <v>282</v>
      </c>
      <c r="E62" s="20">
        <v>1</v>
      </c>
      <c r="F62" s="20">
        <v>0</v>
      </c>
      <c r="G62" s="52"/>
    </row>
    <row r="63" spans="1:7" ht="176.4">
      <c r="A63" s="54">
        <v>57</v>
      </c>
      <c r="B63" s="58" t="s">
        <v>219</v>
      </c>
      <c r="C63" s="56" t="s">
        <v>283</v>
      </c>
      <c r="D63" s="20" t="s">
        <v>284</v>
      </c>
      <c r="E63" s="20" t="s">
        <v>285</v>
      </c>
      <c r="F63" s="20" t="s">
        <v>286</v>
      </c>
      <c r="G63" s="52"/>
    </row>
    <row r="64" spans="1:7" ht="250.8">
      <c r="A64" s="54">
        <v>58</v>
      </c>
      <c r="B64" s="58" t="s">
        <v>220</v>
      </c>
      <c r="C64" s="56" t="s">
        <v>287</v>
      </c>
      <c r="D64" s="20" t="s">
        <v>288</v>
      </c>
      <c r="E64" s="20" t="s">
        <v>289</v>
      </c>
      <c r="F64" s="20" t="s">
        <v>290</v>
      </c>
      <c r="G64" s="52"/>
    </row>
    <row r="65" spans="1:7" ht="273.60000000000002">
      <c r="A65" s="54">
        <v>59</v>
      </c>
      <c r="B65" s="58" t="s">
        <v>221</v>
      </c>
      <c r="C65" s="56" t="s">
        <v>291</v>
      </c>
      <c r="D65" s="20" t="s">
        <v>292</v>
      </c>
      <c r="E65" s="20" t="s">
        <v>293</v>
      </c>
      <c r="F65" s="20" t="s">
        <v>294</v>
      </c>
      <c r="G65" s="52"/>
    </row>
    <row r="66" spans="1:7" ht="409.6">
      <c r="A66" s="54">
        <v>60</v>
      </c>
      <c r="B66" s="58" t="s">
        <v>222</v>
      </c>
      <c r="C66" s="56" t="s">
        <v>295</v>
      </c>
      <c r="D66" s="20" t="s">
        <v>296</v>
      </c>
      <c r="E66" s="20" t="s">
        <v>297</v>
      </c>
      <c r="F66" s="20" t="s">
        <v>298</v>
      </c>
      <c r="G66" s="52"/>
    </row>
    <row r="67" spans="1:7" ht="409.6">
      <c r="A67" s="54">
        <v>61</v>
      </c>
      <c r="B67" s="58" t="s">
        <v>223</v>
      </c>
      <c r="C67" s="56" t="s">
        <v>299</v>
      </c>
      <c r="D67" s="20" t="s">
        <v>300</v>
      </c>
      <c r="E67" s="20" t="s">
        <v>301</v>
      </c>
      <c r="F67" s="20" t="s">
        <v>302</v>
      </c>
      <c r="G67" s="52"/>
    </row>
    <row r="68" spans="1:7" ht="409.6">
      <c r="A68" s="54">
        <v>62</v>
      </c>
      <c r="B68" s="58" t="s">
        <v>224</v>
      </c>
      <c r="C68" s="56" t="s">
        <v>303</v>
      </c>
      <c r="D68" s="20" t="s">
        <v>304</v>
      </c>
      <c r="E68" s="20" t="s">
        <v>305</v>
      </c>
      <c r="F68" s="20" t="s">
        <v>306</v>
      </c>
      <c r="G68" s="52"/>
    </row>
    <row r="69" spans="1:7" ht="409.6">
      <c r="A69" s="54">
        <v>63</v>
      </c>
      <c r="B69" s="58" t="s">
        <v>225</v>
      </c>
      <c r="C69" s="56" t="s">
        <v>307</v>
      </c>
      <c r="D69" s="20" t="s">
        <v>308</v>
      </c>
      <c r="E69" s="20" t="s">
        <v>309</v>
      </c>
      <c r="F69" s="20" t="s">
        <v>310</v>
      </c>
      <c r="G69" s="52"/>
    </row>
    <row r="70" spans="1:7" ht="364.8">
      <c r="A70" s="54">
        <v>64</v>
      </c>
      <c r="B70" s="58" t="s">
        <v>226</v>
      </c>
      <c r="C70" s="56" t="s">
        <v>311</v>
      </c>
      <c r="D70" s="20" t="s">
        <v>312</v>
      </c>
      <c r="E70" s="20" t="s">
        <v>313</v>
      </c>
      <c r="F70" s="20" t="s">
        <v>314</v>
      </c>
      <c r="G70" s="52"/>
    </row>
    <row r="71" spans="1:7" ht="50.4">
      <c r="A71" s="54">
        <v>65</v>
      </c>
      <c r="B71" s="58" t="s">
        <v>315</v>
      </c>
      <c r="C71" s="56" t="s">
        <v>326</v>
      </c>
      <c r="D71" s="20" t="s">
        <v>327</v>
      </c>
      <c r="E71" s="20" t="s">
        <v>328</v>
      </c>
      <c r="F71" s="20" t="s">
        <v>329</v>
      </c>
      <c r="G71" s="52"/>
    </row>
    <row r="72" spans="1:7" ht="100.8">
      <c r="A72" s="54">
        <v>66</v>
      </c>
      <c r="B72" s="58" t="s">
        <v>316</v>
      </c>
      <c r="C72" s="56" t="s">
        <v>330</v>
      </c>
      <c r="D72" s="20" t="s">
        <v>331</v>
      </c>
      <c r="E72" s="20" t="s">
        <v>332</v>
      </c>
      <c r="F72" s="20" t="s">
        <v>333</v>
      </c>
      <c r="G72" s="52"/>
    </row>
    <row r="73" spans="1:7" ht="100.8">
      <c r="A73" s="54">
        <v>67</v>
      </c>
      <c r="B73" s="58" t="s">
        <v>317</v>
      </c>
      <c r="C73" s="56" t="s">
        <v>334</v>
      </c>
      <c r="D73" s="20" t="s">
        <v>335</v>
      </c>
      <c r="E73" s="20" t="s">
        <v>336</v>
      </c>
      <c r="F73" s="20" t="s">
        <v>337</v>
      </c>
      <c r="G73" s="52"/>
    </row>
    <row r="74" spans="1:7" ht="75.599999999999994">
      <c r="A74" s="54">
        <v>68</v>
      </c>
      <c r="B74" s="58" t="s">
        <v>318</v>
      </c>
      <c r="C74" s="56" t="s">
        <v>338</v>
      </c>
      <c r="D74" s="20" t="s">
        <v>339</v>
      </c>
      <c r="E74" s="20" t="s">
        <v>340</v>
      </c>
      <c r="F74" s="20" t="s">
        <v>341</v>
      </c>
      <c r="G74" s="52"/>
    </row>
    <row r="75" spans="1:7" ht="50.4">
      <c r="A75" s="54">
        <v>69</v>
      </c>
      <c r="B75" s="58" t="s">
        <v>319</v>
      </c>
      <c r="C75" s="56" t="s">
        <v>342</v>
      </c>
      <c r="D75" s="20" t="s">
        <v>343</v>
      </c>
      <c r="E75" s="20" t="s">
        <v>344</v>
      </c>
      <c r="F75" s="20" t="s">
        <v>345</v>
      </c>
      <c r="G75" s="52"/>
    </row>
    <row r="76" spans="1:7" ht="100.8">
      <c r="A76" s="54">
        <v>70</v>
      </c>
      <c r="B76" s="58" t="s">
        <v>320</v>
      </c>
      <c r="C76" s="56" t="s">
        <v>346</v>
      </c>
      <c r="D76" s="20" t="s">
        <v>347</v>
      </c>
      <c r="E76" s="20" t="s">
        <v>348</v>
      </c>
      <c r="F76" s="20" t="s">
        <v>349</v>
      </c>
      <c r="G76" s="52"/>
    </row>
    <row r="77" spans="1:7" ht="75.599999999999994">
      <c r="A77" s="54">
        <v>71</v>
      </c>
      <c r="B77" s="58" t="s">
        <v>321</v>
      </c>
      <c r="C77" s="56" t="s">
        <v>350</v>
      </c>
      <c r="D77" s="20" t="s">
        <v>351</v>
      </c>
      <c r="E77" s="20" t="s">
        <v>352</v>
      </c>
      <c r="F77" s="20" t="s">
        <v>353</v>
      </c>
      <c r="G77" s="52"/>
    </row>
    <row r="78" spans="1:7" ht="50.4">
      <c r="A78" s="54">
        <v>72</v>
      </c>
      <c r="B78" s="58" t="s">
        <v>322</v>
      </c>
      <c r="C78" s="56" t="s">
        <v>354</v>
      </c>
      <c r="D78" s="20" t="s">
        <v>355</v>
      </c>
      <c r="E78" s="20" t="s">
        <v>356</v>
      </c>
      <c r="F78" s="20" t="s">
        <v>357</v>
      </c>
      <c r="G78" s="52"/>
    </row>
    <row r="79" spans="1:7" ht="50.4">
      <c r="A79" s="54">
        <v>73</v>
      </c>
      <c r="B79" s="58" t="s">
        <v>323</v>
      </c>
      <c r="C79" s="56" t="s">
        <v>358</v>
      </c>
      <c r="D79" s="20" t="s">
        <v>359</v>
      </c>
      <c r="E79" s="20" t="s">
        <v>360</v>
      </c>
      <c r="F79" s="20" t="s">
        <v>361</v>
      </c>
      <c r="G79" s="52"/>
    </row>
    <row r="80" spans="1:7" ht="126">
      <c r="A80" s="54">
        <v>74</v>
      </c>
      <c r="B80" s="58" t="s">
        <v>324</v>
      </c>
      <c r="C80" s="56" t="s">
        <v>362</v>
      </c>
      <c r="D80" s="20" t="s">
        <v>363</v>
      </c>
      <c r="E80" s="20" t="s">
        <v>364</v>
      </c>
      <c r="F80" s="20" t="s">
        <v>365</v>
      </c>
      <c r="G80" s="52"/>
    </row>
    <row r="81" spans="1:7" ht="126">
      <c r="A81" s="54">
        <v>75</v>
      </c>
      <c r="B81" s="58" t="s">
        <v>325</v>
      </c>
      <c r="C81" s="56" t="s">
        <v>366</v>
      </c>
      <c r="D81" s="20" t="s">
        <v>367</v>
      </c>
      <c r="E81" s="20" t="s">
        <v>368</v>
      </c>
      <c r="F81" s="20" t="s">
        <v>369</v>
      </c>
      <c r="G81" s="52"/>
    </row>
  </sheetData>
  <sheetProtection selectLockedCells="1"/>
  <mergeCells count="2">
    <mergeCell ref="A3:G4"/>
    <mergeCell ref="A5:G5"/>
  </mergeCells>
  <dataValidations count="1">
    <dataValidation type="list" allowBlank="1" showInputMessage="1" showErrorMessage="1" sqref="G7:G81" xr:uid="{F28BC24D-AA9A-44E1-BC0F-B6F51173B5E4}">
      <formula1>"A, B, C, D,a,b,c,d"</formula1>
    </dataValidation>
  </dataValidations>
  <hyperlinks>
    <hyperlink ref="A1" r:id="rId1" xr:uid="{00000000-0004-0000-0000-000000000000}"/>
  </hyperlinks>
  <printOptions horizontalCentered="1" verticalCentered="1"/>
  <pageMargins left="0.19685039370078741" right="0.19685039370078741" top="0.55118110236220474" bottom="0.62992125984251968" header="0.31496062992125984" footer="0.31496062992125984"/>
  <pageSetup paperSize="9" scale="99" orientation="portrait" r:id="rId2"/>
  <headerFooter>
    <oddFooter>Page &amp;P of &amp;N</oddFooter>
  </headerFooter>
  <rowBreaks count="1" manualBreakCount="1">
    <brk id="26" max="10"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4"/>
  <sheetViews>
    <sheetView topLeftCell="A80" zoomScale="130" zoomScaleNormal="130" workbookViewId="0">
      <selection activeCell="F8" sqref="F8"/>
    </sheetView>
  </sheetViews>
  <sheetFormatPr defaultRowHeight="14.4"/>
  <cols>
    <col min="1" max="1" width="6.88671875" bestFit="1" customWidth="1"/>
    <col min="2" max="2" width="9.88671875" hidden="1" customWidth="1"/>
    <col min="3" max="3" width="9.33203125" hidden="1" customWidth="1"/>
    <col min="4" max="8" width="11.44140625" customWidth="1"/>
  </cols>
  <sheetData>
    <row r="1" spans="1:5" ht="15" hidden="1" thickBot="1">
      <c r="A1" s="64" t="s">
        <v>22</v>
      </c>
      <c r="B1" s="65"/>
      <c r="C1" s="65"/>
      <c r="D1" s="65"/>
      <c r="E1" s="65"/>
    </row>
    <row r="2" spans="1:5" ht="15" hidden="1" thickBot="1">
      <c r="A2" s="64"/>
      <c r="B2" s="65"/>
      <c r="C2" s="65"/>
      <c r="D2" s="65"/>
      <c r="E2" s="65"/>
    </row>
    <row r="3" spans="1:5" ht="43.95" hidden="1" customHeight="1">
      <c r="A3" s="64"/>
      <c r="B3" s="65"/>
      <c r="C3" s="65"/>
      <c r="D3" s="65"/>
      <c r="E3" s="65"/>
    </row>
    <row r="4" spans="1:5" ht="15" hidden="1" thickBot="1"/>
    <row r="5" spans="1:5" ht="91.2" customHeight="1" thickBot="1">
      <c r="A5" s="1" t="s">
        <v>21</v>
      </c>
      <c r="B5" s="1" t="s">
        <v>19</v>
      </c>
      <c r="C5" s="1" t="s">
        <v>18</v>
      </c>
      <c r="D5" s="1" t="s">
        <v>6</v>
      </c>
    </row>
    <row r="6" spans="1:5" ht="19.95" customHeight="1" thickTop="1" thickBot="1">
      <c r="A6" s="2">
        <v>1</v>
      </c>
      <c r="B6" s="4">
        <v>1</v>
      </c>
      <c r="C6" s="4"/>
      <c r="D6" s="4" t="s">
        <v>3</v>
      </c>
    </row>
    <row r="7" spans="1:5" ht="19.95" customHeight="1" thickTop="1" thickBot="1">
      <c r="A7" s="2">
        <v>2</v>
      </c>
      <c r="B7" s="4">
        <v>1</v>
      </c>
      <c r="C7" s="4"/>
      <c r="D7" s="4" t="s">
        <v>2</v>
      </c>
    </row>
    <row r="8" spans="1:5" ht="19.95" customHeight="1" thickTop="1" thickBot="1">
      <c r="A8" s="2">
        <v>3</v>
      </c>
      <c r="B8" s="4">
        <v>1</v>
      </c>
      <c r="C8" s="4"/>
      <c r="D8" s="4" t="s">
        <v>0</v>
      </c>
    </row>
    <row r="9" spans="1:5" ht="16.8" thickTop="1" thickBot="1">
      <c r="A9" s="2">
        <v>4</v>
      </c>
      <c r="B9" s="4">
        <v>1</v>
      </c>
      <c r="C9" s="4"/>
      <c r="D9" s="4" t="s">
        <v>2</v>
      </c>
    </row>
    <row r="10" spans="1:5" ht="16.8" thickTop="1" thickBot="1">
      <c r="A10" s="2">
        <v>5</v>
      </c>
      <c r="B10" s="4">
        <v>1</v>
      </c>
      <c r="C10" s="4"/>
      <c r="D10" s="4" t="s">
        <v>0</v>
      </c>
    </row>
    <row r="11" spans="1:5" ht="16.8" thickTop="1" thickBot="1">
      <c r="A11" s="2">
        <v>6</v>
      </c>
      <c r="B11" s="4">
        <v>1</v>
      </c>
      <c r="C11" s="4"/>
      <c r="D11" s="4" t="s">
        <v>3</v>
      </c>
    </row>
    <row r="12" spans="1:5" ht="16.8" thickTop="1" thickBot="1">
      <c r="A12" s="2">
        <v>7</v>
      </c>
      <c r="B12" s="4">
        <v>1</v>
      </c>
      <c r="C12" s="4"/>
      <c r="D12" s="4" t="s">
        <v>2</v>
      </c>
    </row>
    <row r="13" spans="1:5" ht="16.8" thickTop="1" thickBot="1">
      <c r="A13" s="2">
        <v>8</v>
      </c>
      <c r="B13" s="4">
        <v>1</v>
      </c>
      <c r="C13" s="4"/>
      <c r="D13" s="4" t="s">
        <v>0</v>
      </c>
    </row>
    <row r="14" spans="1:5" ht="16.8" thickTop="1" thickBot="1">
      <c r="A14" s="2">
        <v>9</v>
      </c>
      <c r="B14" s="4">
        <v>1</v>
      </c>
      <c r="C14" s="4"/>
      <c r="D14" s="4" t="s">
        <v>1</v>
      </c>
    </row>
    <row r="15" spans="1:5" ht="16.8" thickTop="1" thickBot="1">
      <c r="A15" s="2">
        <v>10</v>
      </c>
      <c r="B15" s="4">
        <v>1</v>
      </c>
      <c r="C15" s="4"/>
      <c r="D15" s="4" t="s">
        <v>0</v>
      </c>
    </row>
    <row r="16" spans="1:5" ht="16.8" thickTop="1" thickBot="1">
      <c r="A16" s="2">
        <v>11</v>
      </c>
      <c r="B16" s="4">
        <v>1</v>
      </c>
      <c r="C16" s="4"/>
      <c r="D16" s="4" t="s">
        <v>2</v>
      </c>
    </row>
    <row r="17" spans="1:4" ht="16.8" thickTop="1" thickBot="1">
      <c r="A17" s="2">
        <v>12</v>
      </c>
      <c r="B17" s="4">
        <v>1</v>
      </c>
      <c r="C17" s="4"/>
      <c r="D17" s="4" t="s">
        <v>1</v>
      </c>
    </row>
    <row r="18" spans="1:4" ht="16.8" thickTop="1" thickBot="1">
      <c r="A18" s="2">
        <v>13</v>
      </c>
      <c r="B18" s="4">
        <v>1</v>
      </c>
      <c r="C18" s="4"/>
      <c r="D18" s="4" t="s">
        <v>2</v>
      </c>
    </row>
    <row r="19" spans="1:4" ht="16.8" thickTop="1" thickBot="1">
      <c r="A19" s="2">
        <v>14</v>
      </c>
      <c r="B19" s="4">
        <v>1</v>
      </c>
      <c r="C19" s="4"/>
      <c r="D19" s="4" t="s">
        <v>0</v>
      </c>
    </row>
    <row r="20" spans="1:4" ht="16.8" thickTop="1" thickBot="1">
      <c r="A20" s="2">
        <v>15</v>
      </c>
      <c r="B20" s="4">
        <v>1</v>
      </c>
      <c r="C20" s="4"/>
      <c r="D20" s="4" t="s">
        <v>2</v>
      </c>
    </row>
    <row r="21" spans="1:4" ht="16.8" thickTop="1" thickBot="1">
      <c r="A21" s="2">
        <v>16</v>
      </c>
      <c r="B21" s="4">
        <v>1</v>
      </c>
      <c r="C21" s="4"/>
      <c r="D21" s="4" t="s">
        <v>3</v>
      </c>
    </row>
    <row r="22" spans="1:4" ht="16.8" thickTop="1" thickBot="1">
      <c r="A22" s="2">
        <v>17</v>
      </c>
      <c r="B22" s="4">
        <v>1</v>
      </c>
      <c r="C22" s="4"/>
      <c r="D22" s="4" t="s">
        <v>1</v>
      </c>
    </row>
    <row r="23" spans="1:4" ht="16.8" thickTop="1" thickBot="1">
      <c r="A23" s="2">
        <v>18</v>
      </c>
      <c r="B23" s="4">
        <v>1</v>
      </c>
      <c r="C23" s="4"/>
      <c r="D23" s="4" t="s">
        <v>2</v>
      </c>
    </row>
    <row r="24" spans="1:4" ht="16.8" thickTop="1" thickBot="1">
      <c r="A24" s="2">
        <v>19</v>
      </c>
      <c r="B24" s="4">
        <v>1</v>
      </c>
      <c r="C24" s="4"/>
      <c r="D24" s="4" t="s">
        <v>3</v>
      </c>
    </row>
    <row r="25" spans="1:4" ht="16.8" thickTop="1" thickBot="1">
      <c r="A25" s="2">
        <v>20</v>
      </c>
      <c r="B25" s="4">
        <v>1</v>
      </c>
      <c r="C25" s="4"/>
      <c r="D25" s="4" t="s">
        <v>0</v>
      </c>
    </row>
    <row r="26" spans="1:4" ht="16.8" thickTop="1" thickBot="1">
      <c r="A26" s="2">
        <v>21</v>
      </c>
      <c r="B26" s="4">
        <v>1</v>
      </c>
      <c r="C26" s="4"/>
      <c r="D26" s="4" t="s">
        <v>2</v>
      </c>
    </row>
    <row r="27" spans="1:4" ht="16.8" thickTop="1" thickBot="1">
      <c r="A27" s="2">
        <v>22</v>
      </c>
      <c r="B27" s="4">
        <v>1</v>
      </c>
      <c r="C27" s="4"/>
      <c r="D27" s="4" t="s">
        <v>1</v>
      </c>
    </row>
    <row r="28" spans="1:4" ht="16.8" thickTop="1" thickBot="1">
      <c r="A28" s="2">
        <v>23</v>
      </c>
      <c r="B28" s="4">
        <v>1</v>
      </c>
      <c r="C28" s="4"/>
      <c r="D28" s="4" t="s">
        <v>3</v>
      </c>
    </row>
    <row r="29" spans="1:4" ht="16.8" thickTop="1" thickBot="1">
      <c r="A29" s="2">
        <v>24</v>
      </c>
      <c r="B29" s="4">
        <v>1</v>
      </c>
      <c r="C29" s="4"/>
      <c r="D29" s="4" t="s">
        <v>0</v>
      </c>
    </row>
    <row r="30" spans="1:4" ht="16.8" thickTop="1" thickBot="1">
      <c r="A30" s="2">
        <v>25</v>
      </c>
      <c r="B30" s="4">
        <v>1</v>
      </c>
      <c r="C30" s="4"/>
      <c r="D30" s="4" t="s">
        <v>0</v>
      </c>
    </row>
    <row r="31" spans="1:4" ht="16.8" thickTop="1" thickBot="1">
      <c r="A31" s="2">
        <v>26</v>
      </c>
      <c r="B31" s="4">
        <v>1</v>
      </c>
      <c r="C31" s="4"/>
      <c r="D31" s="4" t="s">
        <v>3</v>
      </c>
    </row>
    <row r="32" spans="1:4" ht="16.8" thickTop="1" thickBot="1">
      <c r="A32" s="2">
        <v>27</v>
      </c>
      <c r="B32" s="4">
        <v>1</v>
      </c>
      <c r="C32" s="4"/>
      <c r="D32" s="4" t="s">
        <v>1</v>
      </c>
    </row>
    <row r="33" spans="1:4" ht="16.8" thickTop="1" thickBot="1">
      <c r="A33" s="2">
        <v>28</v>
      </c>
      <c r="B33" s="4">
        <v>1</v>
      </c>
      <c r="C33" s="4"/>
      <c r="D33" s="4" t="s">
        <v>0</v>
      </c>
    </row>
    <row r="34" spans="1:4" ht="16.8" thickTop="1" thickBot="1">
      <c r="A34" s="2">
        <v>29</v>
      </c>
      <c r="B34" s="4">
        <v>1</v>
      </c>
      <c r="C34" s="4"/>
      <c r="D34" s="4" t="s">
        <v>0</v>
      </c>
    </row>
    <row r="35" spans="1:4" ht="16.8" thickTop="1" thickBot="1">
      <c r="A35" s="2">
        <v>30</v>
      </c>
      <c r="B35" s="4">
        <v>1</v>
      </c>
      <c r="C35" s="4"/>
      <c r="D35" s="4" t="s">
        <v>1</v>
      </c>
    </row>
    <row r="36" spans="1:4" ht="16.8" thickTop="1" thickBot="1">
      <c r="A36" s="2">
        <v>31</v>
      </c>
      <c r="B36" s="4">
        <v>1</v>
      </c>
      <c r="C36" s="4"/>
      <c r="D36" s="4" t="s">
        <v>2</v>
      </c>
    </row>
    <row r="37" spans="1:4" ht="16.8" thickTop="1" thickBot="1">
      <c r="A37" s="2">
        <v>32</v>
      </c>
      <c r="B37" s="4">
        <v>1</v>
      </c>
      <c r="C37" s="4"/>
      <c r="D37" s="4" t="s">
        <v>0</v>
      </c>
    </row>
    <row r="38" spans="1:4" ht="16.8" thickTop="1" thickBot="1">
      <c r="A38" s="2">
        <v>33</v>
      </c>
      <c r="B38" s="4">
        <v>1</v>
      </c>
      <c r="C38" s="4"/>
      <c r="D38" s="4" t="s">
        <v>1</v>
      </c>
    </row>
    <row r="39" spans="1:4" ht="16.8" thickTop="1" thickBot="1">
      <c r="A39" s="2">
        <v>34</v>
      </c>
      <c r="B39" s="4">
        <v>1</v>
      </c>
      <c r="C39" s="4"/>
      <c r="D39" s="4" t="s">
        <v>0</v>
      </c>
    </row>
    <row r="40" spans="1:4" ht="16.8" thickTop="1" thickBot="1">
      <c r="A40" s="2">
        <v>35</v>
      </c>
      <c r="B40" s="4">
        <v>1</v>
      </c>
      <c r="C40" s="4"/>
      <c r="D40" s="4" t="s">
        <v>1</v>
      </c>
    </row>
    <row r="41" spans="1:4" ht="16.8" thickTop="1" thickBot="1">
      <c r="A41" s="2">
        <v>36</v>
      </c>
      <c r="B41" s="4">
        <v>1</v>
      </c>
      <c r="C41" s="4"/>
      <c r="D41" s="4" t="s">
        <v>3</v>
      </c>
    </row>
    <row r="42" spans="1:4" ht="16.8" thickTop="1" thickBot="1">
      <c r="A42" s="2">
        <v>37</v>
      </c>
      <c r="B42" s="4">
        <v>1</v>
      </c>
      <c r="C42" s="4"/>
      <c r="D42" s="4" t="s">
        <v>0</v>
      </c>
    </row>
    <row r="43" spans="1:4" ht="16.8" thickTop="1" thickBot="1">
      <c r="A43" s="2">
        <v>38</v>
      </c>
      <c r="B43" s="4">
        <v>1</v>
      </c>
      <c r="C43" s="4"/>
      <c r="D43" s="4" t="s">
        <v>1</v>
      </c>
    </row>
    <row r="44" spans="1:4" ht="16.8" thickTop="1" thickBot="1">
      <c r="A44" s="2">
        <v>39</v>
      </c>
      <c r="B44" s="4">
        <v>1</v>
      </c>
      <c r="C44" s="4"/>
      <c r="D44" s="4" t="s">
        <v>0</v>
      </c>
    </row>
    <row r="45" spans="1:4" ht="16.8" thickTop="1" thickBot="1">
      <c r="A45" s="2">
        <v>40</v>
      </c>
      <c r="B45" s="4">
        <v>1</v>
      </c>
      <c r="C45" s="4"/>
      <c r="D45" s="4" t="s">
        <v>3</v>
      </c>
    </row>
    <row r="46" spans="1:4" ht="16.8" thickTop="1" thickBot="1">
      <c r="A46" s="2">
        <v>41</v>
      </c>
      <c r="B46" s="4">
        <v>1</v>
      </c>
      <c r="C46" s="4"/>
      <c r="D46" s="4" t="s">
        <v>0</v>
      </c>
    </row>
    <row r="47" spans="1:4" ht="16.8" thickTop="1" thickBot="1">
      <c r="A47" s="2">
        <v>42</v>
      </c>
      <c r="B47" s="4">
        <v>1</v>
      </c>
      <c r="C47" s="4"/>
      <c r="D47" s="4" t="s">
        <v>0</v>
      </c>
    </row>
    <row r="48" spans="1:4" ht="16.8" thickTop="1" thickBot="1">
      <c r="A48" s="2">
        <v>43</v>
      </c>
      <c r="B48" s="4">
        <v>1</v>
      </c>
      <c r="C48" s="4"/>
      <c r="D48" s="4" t="s">
        <v>2</v>
      </c>
    </row>
    <row r="49" spans="1:4" ht="16.8" thickTop="1" thickBot="1">
      <c r="A49" s="2">
        <v>44</v>
      </c>
      <c r="B49" s="4">
        <v>1</v>
      </c>
      <c r="C49" s="4"/>
      <c r="D49" s="4" t="s">
        <v>1</v>
      </c>
    </row>
    <row r="50" spans="1:4" ht="16.8" thickTop="1" thickBot="1">
      <c r="A50" s="2">
        <v>45</v>
      </c>
      <c r="B50" s="4">
        <v>1</v>
      </c>
      <c r="C50" s="4"/>
      <c r="D50" s="4" t="s">
        <v>1</v>
      </c>
    </row>
    <row r="51" spans="1:4" ht="16.8" thickTop="1" thickBot="1">
      <c r="A51" s="2">
        <v>46</v>
      </c>
      <c r="B51" s="4">
        <v>1</v>
      </c>
      <c r="C51" s="4"/>
      <c r="D51" s="4" t="s">
        <v>0</v>
      </c>
    </row>
    <row r="52" spans="1:4" ht="16.8" thickTop="1" thickBot="1">
      <c r="A52" s="2">
        <v>47</v>
      </c>
      <c r="B52" s="4">
        <v>1</v>
      </c>
      <c r="C52" s="4"/>
      <c r="D52" s="4" t="s">
        <v>3</v>
      </c>
    </row>
    <row r="53" spans="1:4" ht="16.8" thickTop="1" thickBot="1">
      <c r="A53" s="2">
        <v>48</v>
      </c>
      <c r="B53" s="4">
        <v>1</v>
      </c>
      <c r="C53" s="4"/>
      <c r="D53" s="4" t="s">
        <v>2</v>
      </c>
    </row>
    <row r="54" spans="1:4" ht="16.8" thickTop="1" thickBot="1">
      <c r="A54" s="2">
        <v>49</v>
      </c>
      <c r="B54" s="4">
        <v>1</v>
      </c>
      <c r="C54" s="4"/>
      <c r="D54" s="4" t="s">
        <v>3</v>
      </c>
    </row>
    <row r="55" spans="1:4" ht="16.8" thickTop="1" thickBot="1">
      <c r="A55" s="2">
        <v>50</v>
      </c>
      <c r="B55" s="4">
        <v>1</v>
      </c>
      <c r="C55" s="4"/>
      <c r="D55" s="4" t="s">
        <v>3</v>
      </c>
    </row>
    <row r="56" spans="1:4" ht="16.8" thickTop="1" thickBot="1">
      <c r="A56" s="2">
        <v>51</v>
      </c>
      <c r="B56" s="4">
        <v>1</v>
      </c>
      <c r="C56" s="4"/>
      <c r="D56" s="4" t="s">
        <v>1</v>
      </c>
    </row>
    <row r="57" spans="1:4" ht="16.8" thickTop="1" thickBot="1">
      <c r="A57" s="2">
        <v>52</v>
      </c>
      <c r="B57" s="4">
        <v>1</v>
      </c>
      <c r="C57" s="4"/>
      <c r="D57" s="4" t="s">
        <v>0</v>
      </c>
    </row>
    <row r="58" spans="1:4" ht="16.8" thickTop="1" thickBot="1">
      <c r="A58" s="2">
        <v>53</v>
      </c>
      <c r="B58" s="4">
        <v>1</v>
      </c>
      <c r="C58" s="4"/>
      <c r="D58" s="4" t="s">
        <v>2</v>
      </c>
    </row>
    <row r="59" spans="1:4" ht="16.8" thickTop="1" thickBot="1">
      <c r="A59" s="2">
        <v>54</v>
      </c>
      <c r="B59" s="4">
        <v>1</v>
      </c>
      <c r="C59" s="4"/>
      <c r="D59" s="4" t="s">
        <v>1</v>
      </c>
    </row>
    <row r="60" spans="1:4" ht="16.8" thickTop="1" thickBot="1">
      <c r="A60" s="2">
        <v>55</v>
      </c>
      <c r="B60" s="4">
        <v>1</v>
      </c>
      <c r="C60" s="4"/>
      <c r="D60" s="4" t="s">
        <v>1</v>
      </c>
    </row>
    <row r="61" spans="1:4" ht="16.8" thickTop="1" thickBot="1">
      <c r="A61" s="2">
        <v>56</v>
      </c>
      <c r="B61" s="4">
        <v>1</v>
      </c>
      <c r="C61" s="4"/>
      <c r="D61" s="4" t="s">
        <v>2</v>
      </c>
    </row>
    <row r="62" spans="1:4" ht="16.8" thickTop="1" thickBot="1">
      <c r="A62" s="2">
        <v>57</v>
      </c>
      <c r="B62" s="4">
        <v>1</v>
      </c>
      <c r="C62" s="4"/>
      <c r="D62" s="4" t="s">
        <v>1</v>
      </c>
    </row>
    <row r="63" spans="1:4" ht="16.8" thickTop="1" thickBot="1">
      <c r="A63" s="2">
        <v>58</v>
      </c>
      <c r="B63" s="4">
        <v>1</v>
      </c>
      <c r="C63" s="4"/>
      <c r="D63" s="4" t="s">
        <v>3</v>
      </c>
    </row>
    <row r="64" spans="1:4" ht="16.8" thickTop="1" thickBot="1">
      <c r="A64" s="2">
        <v>59</v>
      </c>
      <c r="B64" s="4">
        <v>1</v>
      </c>
      <c r="C64" s="4"/>
      <c r="D64" s="4" t="s">
        <v>0</v>
      </c>
    </row>
    <row r="65" spans="1:4" ht="16.8" thickTop="1" thickBot="1">
      <c r="A65" s="2">
        <v>60</v>
      </c>
      <c r="B65" s="4">
        <v>1</v>
      </c>
      <c r="C65" s="4"/>
      <c r="D65" s="4" t="s">
        <v>1</v>
      </c>
    </row>
    <row r="66" spans="1:4" ht="16.8" thickTop="1" thickBot="1">
      <c r="A66" s="2">
        <v>61</v>
      </c>
      <c r="B66" s="4">
        <v>1</v>
      </c>
      <c r="C66" s="4"/>
      <c r="D66" s="4" t="s">
        <v>2</v>
      </c>
    </row>
    <row r="67" spans="1:4" ht="16.8" thickTop="1" thickBot="1">
      <c r="A67" s="2">
        <v>62</v>
      </c>
      <c r="B67" s="4">
        <v>1</v>
      </c>
      <c r="C67" s="4"/>
      <c r="D67" s="4" t="s">
        <v>3</v>
      </c>
    </row>
    <row r="68" spans="1:4" ht="16.8" thickTop="1" thickBot="1">
      <c r="A68" s="2">
        <v>63</v>
      </c>
      <c r="B68" s="4">
        <v>1</v>
      </c>
      <c r="C68" s="4"/>
      <c r="D68" s="4" t="s">
        <v>0</v>
      </c>
    </row>
    <row r="69" spans="1:4" ht="16.8" thickTop="1" thickBot="1">
      <c r="A69" s="2">
        <v>64</v>
      </c>
      <c r="B69" s="4">
        <v>1</v>
      </c>
      <c r="C69" s="4"/>
      <c r="D69" s="4" t="s">
        <v>1</v>
      </c>
    </row>
    <row r="70" spans="1:4" ht="16.8" thickTop="1" thickBot="1">
      <c r="A70" s="2">
        <v>65</v>
      </c>
      <c r="B70" s="4">
        <v>1</v>
      </c>
      <c r="C70" s="4"/>
      <c r="D70" s="4" t="s">
        <v>0</v>
      </c>
    </row>
    <row r="71" spans="1:4" ht="16.8" thickTop="1" thickBot="1">
      <c r="A71" s="2">
        <v>66</v>
      </c>
      <c r="B71" s="4">
        <v>1</v>
      </c>
      <c r="C71" s="4"/>
      <c r="D71" s="4" t="s">
        <v>0</v>
      </c>
    </row>
    <row r="72" spans="1:4" ht="16.8" thickTop="1" thickBot="1">
      <c r="A72" s="2">
        <v>67</v>
      </c>
      <c r="B72" s="4">
        <v>1</v>
      </c>
      <c r="C72" s="4"/>
      <c r="D72" s="4" t="s">
        <v>2</v>
      </c>
    </row>
    <row r="73" spans="1:4" ht="16.8" thickTop="1" thickBot="1">
      <c r="A73" s="2">
        <v>68</v>
      </c>
      <c r="B73" s="4">
        <v>1</v>
      </c>
      <c r="C73" s="4"/>
      <c r="D73" s="4" t="s">
        <v>1</v>
      </c>
    </row>
    <row r="74" spans="1:4" ht="16.8" thickTop="1" thickBot="1">
      <c r="A74" s="2">
        <v>69</v>
      </c>
      <c r="B74" s="4">
        <v>1</v>
      </c>
      <c r="C74" s="4"/>
      <c r="D74" s="4" t="s">
        <v>3</v>
      </c>
    </row>
    <row r="75" spans="1:4" ht="16.8" thickTop="1" thickBot="1">
      <c r="A75" s="2">
        <v>70</v>
      </c>
      <c r="B75" s="4">
        <v>1</v>
      </c>
      <c r="C75" s="4"/>
      <c r="D75" s="4" t="s">
        <v>2</v>
      </c>
    </row>
    <row r="76" spans="1:4" ht="16.8" thickTop="1" thickBot="1">
      <c r="A76" s="2">
        <v>71</v>
      </c>
      <c r="B76" s="4">
        <v>1</v>
      </c>
      <c r="C76" s="4"/>
      <c r="D76" s="4" t="s">
        <v>1</v>
      </c>
    </row>
    <row r="77" spans="1:4" ht="16.8" thickTop="1" thickBot="1">
      <c r="A77" s="2">
        <v>72</v>
      </c>
      <c r="B77" s="4">
        <v>1</v>
      </c>
      <c r="C77" s="4"/>
      <c r="D77" s="4" t="s">
        <v>0</v>
      </c>
    </row>
    <row r="78" spans="1:4" ht="16.8" thickTop="1" thickBot="1">
      <c r="A78" s="2">
        <v>73</v>
      </c>
      <c r="B78" s="4">
        <v>1</v>
      </c>
      <c r="C78" s="4"/>
      <c r="D78" s="4" t="s">
        <v>1</v>
      </c>
    </row>
    <row r="79" spans="1:4" ht="16.8" thickTop="1" thickBot="1">
      <c r="A79" s="2">
        <v>74</v>
      </c>
      <c r="B79" s="4">
        <v>1</v>
      </c>
      <c r="C79" s="4"/>
      <c r="D79" s="4" t="s">
        <v>0</v>
      </c>
    </row>
    <row r="80" spans="1:4" ht="16.8" thickTop="1" thickBot="1">
      <c r="A80" s="2">
        <v>75</v>
      </c>
      <c r="B80" s="4">
        <v>1</v>
      </c>
      <c r="C80" s="4"/>
      <c r="D80" s="4" t="s">
        <v>0</v>
      </c>
    </row>
    <row r="81" spans="1:4" ht="16.8" hidden="1" thickTop="1" thickBot="1">
      <c r="A81" s="2">
        <v>76</v>
      </c>
      <c r="B81" s="4">
        <v>1</v>
      </c>
      <c r="C81" s="4"/>
      <c r="D81" s="4"/>
    </row>
    <row r="82" spans="1:4" ht="16.8" hidden="1" thickTop="1" thickBot="1">
      <c r="A82" s="2">
        <v>77</v>
      </c>
      <c r="B82" s="4">
        <v>1</v>
      </c>
      <c r="C82" s="4"/>
      <c r="D82" s="4"/>
    </row>
    <row r="83" spans="1:4" ht="16.8" hidden="1" thickTop="1" thickBot="1">
      <c r="A83" s="2">
        <v>78</v>
      </c>
      <c r="B83" s="4">
        <v>1</v>
      </c>
      <c r="C83" s="4"/>
      <c r="D83" s="4"/>
    </row>
    <row r="84" spans="1:4" ht="16.8" hidden="1" thickTop="1" thickBot="1">
      <c r="A84" s="2">
        <v>79</v>
      </c>
      <c r="B84" s="4">
        <v>1</v>
      </c>
      <c r="C84" s="4"/>
      <c r="D84" s="4"/>
    </row>
    <row r="85" spans="1:4" ht="16.8" hidden="1" thickTop="1" thickBot="1">
      <c r="A85" s="2">
        <v>80</v>
      </c>
      <c r="B85" s="4">
        <v>1</v>
      </c>
      <c r="C85" s="4"/>
      <c r="D85" s="4"/>
    </row>
    <row r="86" spans="1:4" ht="16.8" hidden="1" thickTop="1" thickBot="1">
      <c r="A86" s="2">
        <v>81</v>
      </c>
      <c r="B86" s="4">
        <v>1</v>
      </c>
      <c r="C86" s="4"/>
      <c r="D86" s="4"/>
    </row>
    <row r="87" spans="1:4" ht="16.8" hidden="1" thickTop="1" thickBot="1">
      <c r="A87" s="2">
        <v>82</v>
      </c>
      <c r="B87" s="4">
        <v>1</v>
      </c>
      <c r="C87" s="4"/>
      <c r="D87" s="4"/>
    </row>
    <row r="88" spans="1:4" ht="16.8" hidden="1" thickTop="1" thickBot="1">
      <c r="A88" s="2">
        <v>83</v>
      </c>
      <c r="B88" s="4">
        <v>1</v>
      </c>
      <c r="C88" s="4"/>
      <c r="D88" s="4"/>
    </row>
    <row r="89" spans="1:4" ht="16.8" hidden="1" thickTop="1" thickBot="1">
      <c r="A89" s="2">
        <v>84</v>
      </c>
      <c r="B89" s="4">
        <v>1</v>
      </c>
      <c r="C89" s="4"/>
      <c r="D89" s="4"/>
    </row>
    <row r="90" spans="1:4" ht="16.8" hidden="1" thickTop="1" thickBot="1">
      <c r="A90" s="2">
        <v>85</v>
      </c>
      <c r="B90" s="4">
        <v>1</v>
      </c>
      <c r="C90" s="4"/>
      <c r="D90" s="4"/>
    </row>
    <row r="91" spans="1:4" ht="16.8" hidden="1" thickTop="1" thickBot="1">
      <c r="A91" s="2">
        <v>86</v>
      </c>
      <c r="B91" s="4">
        <v>1</v>
      </c>
      <c r="C91" s="4"/>
      <c r="D91" s="4"/>
    </row>
    <row r="92" spans="1:4" ht="16.8" hidden="1" thickTop="1" thickBot="1">
      <c r="A92" s="2">
        <v>87</v>
      </c>
      <c r="B92" s="4">
        <v>1</v>
      </c>
      <c r="C92" s="4"/>
      <c r="D92" s="4"/>
    </row>
    <row r="93" spans="1:4" ht="16.8" hidden="1" thickTop="1" thickBot="1">
      <c r="A93" s="2">
        <v>88</v>
      </c>
      <c r="B93" s="4">
        <v>1</v>
      </c>
      <c r="C93" s="4"/>
      <c r="D93" s="4"/>
    </row>
    <row r="94" spans="1:4" ht="16.8" hidden="1" thickTop="1" thickBot="1">
      <c r="A94" s="2">
        <v>89</v>
      </c>
      <c r="B94" s="4">
        <v>1</v>
      </c>
      <c r="C94" s="4"/>
      <c r="D94" s="4"/>
    </row>
    <row r="95" spans="1:4" ht="16.8" hidden="1" thickTop="1" thickBot="1">
      <c r="A95" s="2">
        <v>90</v>
      </c>
      <c r="B95" s="4">
        <v>1</v>
      </c>
      <c r="C95" s="4"/>
      <c r="D95" s="4"/>
    </row>
    <row r="96" spans="1:4" ht="16.8" hidden="1" thickTop="1" thickBot="1">
      <c r="A96" s="2">
        <v>91</v>
      </c>
      <c r="B96" s="4">
        <v>1</v>
      </c>
      <c r="C96" s="4"/>
      <c r="D96" s="4"/>
    </row>
    <row r="97" spans="1:4" ht="16.8" hidden="1" thickTop="1" thickBot="1">
      <c r="A97" s="2">
        <v>92</v>
      </c>
      <c r="B97" s="4">
        <v>1</v>
      </c>
      <c r="C97" s="4"/>
      <c r="D97" s="4"/>
    </row>
    <row r="98" spans="1:4" ht="16.8" hidden="1" thickTop="1" thickBot="1">
      <c r="A98" s="2">
        <v>93</v>
      </c>
      <c r="B98" s="4">
        <v>1</v>
      </c>
      <c r="C98" s="4"/>
      <c r="D98" s="4"/>
    </row>
    <row r="99" spans="1:4" ht="16.8" hidden="1" thickTop="1" thickBot="1">
      <c r="A99" s="2">
        <v>94</v>
      </c>
      <c r="B99" s="4">
        <v>1</v>
      </c>
      <c r="C99" s="4"/>
      <c r="D99" s="4"/>
    </row>
    <row r="100" spans="1:4" ht="16.8" hidden="1" thickTop="1" thickBot="1">
      <c r="A100" s="2">
        <v>95</v>
      </c>
      <c r="B100" s="4">
        <v>1</v>
      </c>
      <c r="C100" s="4"/>
      <c r="D100" s="4"/>
    </row>
    <row r="101" spans="1:4" ht="16.8" hidden="1" thickTop="1" thickBot="1">
      <c r="A101" s="2">
        <v>96</v>
      </c>
      <c r="B101" s="4">
        <v>1</v>
      </c>
      <c r="C101" s="4"/>
      <c r="D101" s="4"/>
    </row>
    <row r="102" spans="1:4" ht="16.8" hidden="1" thickTop="1" thickBot="1">
      <c r="A102" s="2">
        <v>97</v>
      </c>
      <c r="B102" s="4">
        <v>1</v>
      </c>
      <c r="C102" s="4"/>
      <c r="D102" s="4"/>
    </row>
    <row r="103" spans="1:4" ht="16.8" hidden="1" thickTop="1" thickBot="1">
      <c r="A103" s="2">
        <v>98</v>
      </c>
      <c r="B103" s="4">
        <v>1</v>
      </c>
      <c r="C103" s="4"/>
      <c r="D103" s="4"/>
    </row>
    <row r="104" spans="1:4" ht="16.8" hidden="1" thickTop="1" thickBot="1">
      <c r="A104" s="2">
        <v>99</v>
      </c>
      <c r="B104" s="4">
        <v>1</v>
      </c>
      <c r="C104" s="4"/>
      <c r="D104" s="4"/>
    </row>
    <row r="105" spans="1:4" ht="16.8" hidden="1" thickTop="1" thickBot="1">
      <c r="A105" s="3">
        <v>100</v>
      </c>
      <c r="B105" s="4">
        <v>1</v>
      </c>
      <c r="C105" s="4"/>
      <c r="D105" s="4"/>
    </row>
    <row r="106" spans="1:4" ht="16.8" hidden="1" thickTop="1" thickBot="1">
      <c r="A106" s="3">
        <v>101</v>
      </c>
      <c r="B106" s="4">
        <v>1</v>
      </c>
      <c r="C106" s="4"/>
      <c r="D106" s="4"/>
    </row>
    <row r="107" spans="1:4" ht="16.8" hidden="1" thickTop="1" thickBot="1">
      <c r="A107" s="3">
        <v>102</v>
      </c>
      <c r="B107" s="4">
        <v>1</v>
      </c>
      <c r="C107" s="4"/>
      <c r="D107" s="4"/>
    </row>
    <row r="108" spans="1:4" ht="16.8" hidden="1" thickTop="1" thickBot="1">
      <c r="A108" s="3">
        <v>103</v>
      </c>
      <c r="B108" s="4">
        <v>1</v>
      </c>
      <c r="C108" s="4"/>
      <c r="D108" s="4"/>
    </row>
    <row r="109" spans="1:4" ht="16.8" hidden="1" thickTop="1" thickBot="1">
      <c r="A109" s="3">
        <v>104</v>
      </c>
      <c r="B109" s="4">
        <v>1</v>
      </c>
      <c r="C109" s="4"/>
      <c r="D109" s="4"/>
    </row>
    <row r="110" spans="1:4" ht="16.8" hidden="1" thickTop="1" thickBot="1">
      <c r="A110" s="3">
        <v>105</v>
      </c>
      <c r="B110" s="4">
        <v>1</v>
      </c>
      <c r="C110" s="4"/>
      <c r="D110" s="4"/>
    </row>
    <row r="111" spans="1:4" ht="16.8" hidden="1" thickTop="1" thickBot="1">
      <c r="A111" s="3">
        <v>106</v>
      </c>
      <c r="B111" s="4">
        <v>1</v>
      </c>
      <c r="C111" s="4"/>
      <c r="D111" s="4"/>
    </row>
    <row r="112" spans="1:4" ht="16.8" hidden="1" thickTop="1" thickBot="1">
      <c r="A112" s="3">
        <v>107</v>
      </c>
      <c r="B112" s="4">
        <v>1</v>
      </c>
      <c r="C112" s="4"/>
      <c r="D112" s="4"/>
    </row>
    <row r="113" spans="1:4" ht="16.8" hidden="1" thickTop="1" thickBot="1">
      <c r="A113" s="3">
        <v>108</v>
      </c>
      <c r="B113" s="4">
        <v>1</v>
      </c>
      <c r="C113" s="4"/>
      <c r="D113" s="4"/>
    </row>
    <row r="114" spans="1:4" ht="16.8" hidden="1" thickTop="1" thickBot="1">
      <c r="A114" s="3">
        <v>109</v>
      </c>
      <c r="B114" s="4">
        <v>1</v>
      </c>
      <c r="C114" s="4"/>
      <c r="D114" s="4"/>
    </row>
    <row r="115" spans="1:4" ht="16.8" hidden="1" thickTop="1" thickBot="1">
      <c r="A115" s="3">
        <v>110</v>
      </c>
      <c r="B115" s="4">
        <v>1</v>
      </c>
      <c r="C115" s="4"/>
      <c r="D115" s="4"/>
    </row>
    <row r="116" spans="1:4" ht="16.8" hidden="1" thickTop="1" thickBot="1">
      <c r="A116" s="3">
        <v>111</v>
      </c>
      <c r="B116" s="4">
        <v>1</v>
      </c>
      <c r="C116" s="4"/>
      <c r="D116" s="4"/>
    </row>
    <row r="117" spans="1:4" ht="16.8" hidden="1" thickTop="1" thickBot="1">
      <c r="A117" s="3">
        <v>112</v>
      </c>
      <c r="B117" s="4">
        <v>1</v>
      </c>
      <c r="C117" s="4"/>
      <c r="D117" s="4"/>
    </row>
    <row r="118" spans="1:4" ht="16.8" hidden="1" thickTop="1" thickBot="1">
      <c r="A118" s="3">
        <v>113</v>
      </c>
      <c r="B118" s="4">
        <v>1</v>
      </c>
      <c r="C118" s="4"/>
      <c r="D118" s="4"/>
    </row>
    <row r="119" spans="1:4" ht="16.8" hidden="1" thickTop="1" thickBot="1">
      <c r="A119" s="3">
        <v>114</v>
      </c>
      <c r="B119" s="4">
        <v>1</v>
      </c>
      <c r="C119" s="4"/>
      <c r="D119" s="4"/>
    </row>
    <row r="120" spans="1:4" ht="16.8" hidden="1" thickTop="1" thickBot="1">
      <c r="A120" s="3">
        <v>115</v>
      </c>
      <c r="B120" s="4">
        <v>1</v>
      </c>
      <c r="C120" s="4"/>
      <c r="D120" s="4"/>
    </row>
    <row r="121" spans="1:4" ht="16.8" hidden="1" thickTop="1" thickBot="1">
      <c r="A121" s="3">
        <v>116</v>
      </c>
      <c r="B121" s="4">
        <v>1</v>
      </c>
      <c r="C121" s="4"/>
      <c r="D121" s="4"/>
    </row>
    <row r="122" spans="1:4" ht="16.8" hidden="1" thickTop="1" thickBot="1">
      <c r="A122" s="3">
        <v>117</v>
      </c>
      <c r="B122" s="4">
        <v>1</v>
      </c>
      <c r="C122" s="4"/>
      <c r="D122" s="4"/>
    </row>
    <row r="123" spans="1:4" ht="16.8" hidden="1" thickTop="1" thickBot="1">
      <c r="A123" s="3">
        <v>118</v>
      </c>
      <c r="B123" s="4">
        <v>1</v>
      </c>
      <c r="C123" s="4"/>
      <c r="D123" s="4"/>
    </row>
    <row r="124" spans="1:4" ht="15" thickTop="1"/>
  </sheetData>
  <sheetProtection selectLockedCells="1" selectUnlockedCells="1"/>
  <mergeCells count="1">
    <mergeCell ref="A1:E3"/>
  </mergeCells>
  <pageMargins left="7.874015748031496E-2" right="7.874015748031496E-2" top="7.874015748031496E-2" bottom="7.874015748031496E-2" header="0.31496062992125984" footer="0.31496062992125984"/>
  <pageSetup paperSize="9" scale="93" orientation="portrait" horizontalDpi="0"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6"/>
  <sheetViews>
    <sheetView topLeftCell="A19" zoomScale="115" zoomScaleNormal="115" workbookViewId="0">
      <selection activeCell="G90" sqref="G90"/>
    </sheetView>
  </sheetViews>
  <sheetFormatPr defaultRowHeight="14.4"/>
  <cols>
    <col min="1" max="1" width="11.33203125" style="21" customWidth="1"/>
    <col min="2" max="2" width="9.6640625" style="21" customWidth="1"/>
    <col min="3" max="3" width="12.88671875" style="21" customWidth="1"/>
    <col min="4" max="4" width="9.6640625" style="21" customWidth="1"/>
    <col min="5" max="5" width="16.6640625" style="21" customWidth="1"/>
    <col min="6" max="6" width="8.88671875" style="21" hidden="1" customWidth="1"/>
    <col min="7" max="7" width="12.33203125" style="21" bestFit="1" customWidth="1"/>
    <col min="8" max="8" width="8.88671875" style="21"/>
    <col min="9" max="9" width="7" style="21" customWidth="1"/>
    <col min="10" max="16" width="8.88671875" style="21" customWidth="1"/>
    <col min="17" max="16384" width="8.88671875" style="21"/>
  </cols>
  <sheetData>
    <row r="1" spans="1:16" ht="15" thickBot="1"/>
    <row r="2" spans="1:16" ht="16.2" thickBot="1">
      <c r="A2" s="22" t="s">
        <v>7</v>
      </c>
      <c r="B2" s="22" t="s">
        <v>8</v>
      </c>
      <c r="C2" s="22" t="s">
        <v>29</v>
      </c>
      <c r="D2" s="22" t="s">
        <v>14</v>
      </c>
      <c r="E2" s="22" t="s">
        <v>30</v>
      </c>
      <c r="F2" s="23"/>
      <c r="G2" s="23" t="s">
        <v>9</v>
      </c>
      <c r="H2" s="66" t="s">
        <v>10</v>
      </c>
      <c r="I2" s="67"/>
      <c r="N2" s="24"/>
    </row>
    <row r="3" spans="1:16" ht="16.2" thickBot="1">
      <c r="A3" s="25" t="s">
        <v>34</v>
      </c>
      <c r="B3" s="26" t="s">
        <v>32</v>
      </c>
      <c r="C3" s="26" t="s">
        <v>35</v>
      </c>
      <c r="D3" s="26"/>
      <c r="E3" s="27">
        <v>2023</v>
      </c>
      <c r="F3" s="23"/>
      <c r="G3" s="28" t="s">
        <v>33</v>
      </c>
      <c r="H3" s="66" t="s">
        <v>25</v>
      </c>
      <c r="I3" s="67"/>
      <c r="N3" s="29"/>
    </row>
    <row r="4" spans="1:16" ht="21.6" thickTop="1" thickBot="1">
      <c r="A4" s="68"/>
      <c r="B4" s="45" t="s">
        <v>20</v>
      </c>
      <c r="C4" s="45"/>
      <c r="D4" s="45"/>
      <c r="E4" s="45"/>
      <c r="F4" s="45"/>
      <c r="G4" s="45"/>
      <c r="H4" s="70"/>
      <c r="I4" s="68"/>
      <c r="J4" s="30"/>
      <c r="K4" s="30"/>
      <c r="L4" s="30"/>
      <c r="M4" s="30"/>
      <c r="N4" s="30"/>
      <c r="O4" s="30"/>
    </row>
    <row r="5" spans="1:16" s="33" customFormat="1" ht="63.6" thickTop="1" thickBot="1">
      <c r="A5" s="69"/>
      <c r="B5" s="31" t="s">
        <v>4</v>
      </c>
      <c r="C5" s="31" t="s">
        <v>12</v>
      </c>
      <c r="D5" s="31" t="s">
        <v>18</v>
      </c>
      <c r="E5" s="31" t="s">
        <v>5</v>
      </c>
      <c r="F5" s="31" t="s">
        <v>6</v>
      </c>
      <c r="G5" s="32" t="s">
        <v>11</v>
      </c>
      <c r="H5" s="71"/>
      <c r="I5" s="69"/>
      <c r="J5" s="30"/>
      <c r="K5" s="30"/>
      <c r="L5" s="30"/>
      <c r="M5" s="30"/>
      <c r="N5" s="30"/>
      <c r="O5" s="30"/>
    </row>
    <row r="6" spans="1:16" ht="16.8" thickTop="1" thickBot="1">
      <c r="A6" s="69"/>
      <c r="B6" s="34">
        <v>1</v>
      </c>
      <c r="C6" s="35">
        <f>IF('After Exam Data Entry'!B6="", "", 'After Exam Data Entry'!B6)</f>
        <v>1</v>
      </c>
      <c r="D6" s="35">
        <f>IF(C6="", "", IF('After Exam Data Entry'!C6="", 0, 'After Exam Data Entry'!C6))</f>
        <v>0</v>
      </c>
      <c r="E6" s="35" t="str">
        <f>IF('MCQ TEST SHEET'!G7="", "", 'MCQ TEST SHEET'!G7)</f>
        <v/>
      </c>
      <c r="F6" s="35" t="str">
        <f>IF('After Exam Data Entry'!D6="", "", 'After Exam Data Entry'!D6)</f>
        <v>D</v>
      </c>
      <c r="G6" s="36" t="str">
        <f>IF(F6="", "", IF(E6="", "", IF(E6=F6, C6, D6)))</f>
        <v/>
      </c>
      <c r="H6" s="71"/>
      <c r="I6" s="69"/>
    </row>
    <row r="7" spans="1:16" ht="16.8" thickTop="1" thickBot="1">
      <c r="A7" s="69"/>
      <c r="B7" s="34">
        <v>2</v>
      </c>
      <c r="C7" s="35">
        <f>IF('After Exam Data Entry'!B7="", "", 'After Exam Data Entry'!B7)</f>
        <v>1</v>
      </c>
      <c r="D7" s="35">
        <f>IF(C7="", "", IF('After Exam Data Entry'!C7="", 0, 'After Exam Data Entry'!C7))</f>
        <v>0</v>
      </c>
      <c r="E7" s="35" t="str">
        <f>IF('MCQ TEST SHEET'!G8="", "", 'MCQ TEST SHEET'!G8)</f>
        <v/>
      </c>
      <c r="F7" s="35" t="str">
        <f>IF('After Exam Data Entry'!D7="", "", 'After Exam Data Entry'!D7)</f>
        <v>C</v>
      </c>
      <c r="G7" s="36" t="str">
        <f t="shared" ref="G7:G70" si="0">IF(F7="", "", IF(E7="", "", IF(E7=F7, C7, D7)))</f>
        <v/>
      </c>
      <c r="H7" s="71"/>
      <c r="I7" s="69"/>
      <c r="P7" s="37"/>
    </row>
    <row r="8" spans="1:16" ht="16.8" thickTop="1" thickBot="1">
      <c r="A8" s="69"/>
      <c r="B8" s="34">
        <v>3</v>
      </c>
      <c r="C8" s="35">
        <f>IF('After Exam Data Entry'!B8="", "", 'After Exam Data Entry'!B8)</f>
        <v>1</v>
      </c>
      <c r="D8" s="35">
        <f>IF(C8="", "", IF('After Exam Data Entry'!C8="", 0, 'After Exam Data Entry'!C8))</f>
        <v>0</v>
      </c>
      <c r="E8" s="35" t="str">
        <f>IF('MCQ TEST SHEET'!G9="", "", 'MCQ TEST SHEET'!G9)</f>
        <v/>
      </c>
      <c r="F8" s="35" t="str">
        <f>IF('After Exam Data Entry'!D8="", "", 'After Exam Data Entry'!D8)</f>
        <v>A</v>
      </c>
      <c r="G8" s="36" t="str">
        <f t="shared" si="0"/>
        <v/>
      </c>
      <c r="H8" s="71"/>
      <c r="I8" s="69"/>
    </row>
    <row r="9" spans="1:16" ht="16.8" thickTop="1" thickBot="1">
      <c r="A9" s="69"/>
      <c r="B9" s="34">
        <v>4</v>
      </c>
      <c r="C9" s="35">
        <f>IF('After Exam Data Entry'!B9="", "", 'After Exam Data Entry'!B9)</f>
        <v>1</v>
      </c>
      <c r="D9" s="35">
        <f>IF(C9="", "", IF('After Exam Data Entry'!C9="", 0, 'After Exam Data Entry'!C9))</f>
        <v>0</v>
      </c>
      <c r="E9" s="35" t="str">
        <f>IF('MCQ TEST SHEET'!G10="", "", 'MCQ TEST SHEET'!G10)</f>
        <v/>
      </c>
      <c r="F9" s="35" t="str">
        <f>IF('After Exam Data Entry'!D9="", "", 'After Exam Data Entry'!D9)</f>
        <v>C</v>
      </c>
      <c r="G9" s="36" t="str">
        <f t="shared" si="0"/>
        <v/>
      </c>
      <c r="H9" s="71"/>
      <c r="I9" s="69"/>
    </row>
    <row r="10" spans="1:16" ht="16.8" thickTop="1" thickBot="1">
      <c r="A10" s="69"/>
      <c r="B10" s="34">
        <v>5</v>
      </c>
      <c r="C10" s="35">
        <f>IF('After Exam Data Entry'!B10="", "", 'After Exam Data Entry'!B10)</f>
        <v>1</v>
      </c>
      <c r="D10" s="35">
        <f>IF(C10="", "", IF('After Exam Data Entry'!C10="", 0, 'After Exam Data Entry'!C10))</f>
        <v>0</v>
      </c>
      <c r="E10" s="35" t="str">
        <f>IF('MCQ TEST SHEET'!G11="", "", 'MCQ TEST SHEET'!G11)</f>
        <v/>
      </c>
      <c r="F10" s="35" t="str">
        <f>IF('After Exam Data Entry'!D10="", "", 'After Exam Data Entry'!D10)</f>
        <v>A</v>
      </c>
      <c r="G10" s="36" t="str">
        <f t="shared" si="0"/>
        <v/>
      </c>
      <c r="H10" s="71"/>
      <c r="I10" s="69"/>
    </row>
    <row r="11" spans="1:16" ht="16.8" thickTop="1" thickBot="1">
      <c r="A11" s="69"/>
      <c r="B11" s="34">
        <v>6</v>
      </c>
      <c r="C11" s="35">
        <f>IF('After Exam Data Entry'!B11="", "", 'After Exam Data Entry'!B11)</f>
        <v>1</v>
      </c>
      <c r="D11" s="35">
        <f>IF(C11="", "", IF('After Exam Data Entry'!C11="", 0, 'After Exam Data Entry'!C11))</f>
        <v>0</v>
      </c>
      <c r="E11" s="35" t="str">
        <f>IF('MCQ TEST SHEET'!G12="", "", 'MCQ TEST SHEET'!G12)</f>
        <v/>
      </c>
      <c r="F11" s="35" t="str">
        <f>IF('After Exam Data Entry'!D11="", "", 'After Exam Data Entry'!D11)</f>
        <v>D</v>
      </c>
      <c r="G11" s="36" t="str">
        <f t="shared" si="0"/>
        <v/>
      </c>
      <c r="H11" s="71"/>
      <c r="I11" s="69"/>
    </row>
    <row r="12" spans="1:16" ht="16.8" thickTop="1" thickBot="1">
      <c r="A12" s="69"/>
      <c r="B12" s="34">
        <v>7</v>
      </c>
      <c r="C12" s="35">
        <f>IF('After Exam Data Entry'!B12="", "", 'After Exam Data Entry'!B12)</f>
        <v>1</v>
      </c>
      <c r="D12" s="35">
        <f>IF(C12="", "", IF('After Exam Data Entry'!C12="", 0, 'After Exam Data Entry'!C12))</f>
        <v>0</v>
      </c>
      <c r="E12" s="35" t="str">
        <f>IF('MCQ TEST SHEET'!G13="", "", 'MCQ TEST SHEET'!G13)</f>
        <v/>
      </c>
      <c r="F12" s="35" t="str">
        <f>IF('After Exam Data Entry'!D12="", "", 'After Exam Data Entry'!D12)</f>
        <v>C</v>
      </c>
      <c r="G12" s="36" t="str">
        <f t="shared" si="0"/>
        <v/>
      </c>
      <c r="H12" s="71"/>
      <c r="I12" s="69"/>
    </row>
    <row r="13" spans="1:16" ht="16.8" thickTop="1" thickBot="1">
      <c r="A13" s="69"/>
      <c r="B13" s="34">
        <v>8</v>
      </c>
      <c r="C13" s="35">
        <f>IF('After Exam Data Entry'!B13="", "", 'After Exam Data Entry'!B13)</f>
        <v>1</v>
      </c>
      <c r="D13" s="35">
        <f>IF(C13="", "", IF('After Exam Data Entry'!C13="", 0, 'After Exam Data Entry'!C13))</f>
        <v>0</v>
      </c>
      <c r="E13" s="35" t="str">
        <f>IF('MCQ TEST SHEET'!G14="", "", 'MCQ TEST SHEET'!G14)</f>
        <v/>
      </c>
      <c r="F13" s="35" t="str">
        <f>IF('After Exam Data Entry'!D13="", "", 'After Exam Data Entry'!D13)</f>
        <v>A</v>
      </c>
      <c r="G13" s="36" t="str">
        <f t="shared" si="0"/>
        <v/>
      </c>
      <c r="H13" s="71"/>
      <c r="I13" s="69"/>
    </row>
    <row r="14" spans="1:16" ht="16.8" thickTop="1" thickBot="1">
      <c r="A14" s="69"/>
      <c r="B14" s="34">
        <v>9</v>
      </c>
      <c r="C14" s="35">
        <f>IF('After Exam Data Entry'!B14="", "", 'After Exam Data Entry'!B14)</f>
        <v>1</v>
      </c>
      <c r="D14" s="35">
        <f>IF(C14="", "", IF('After Exam Data Entry'!C14="", 0, 'After Exam Data Entry'!C14))</f>
        <v>0</v>
      </c>
      <c r="E14" s="35" t="str">
        <f>IF('MCQ TEST SHEET'!G15="", "", 'MCQ TEST SHEET'!G15)</f>
        <v/>
      </c>
      <c r="F14" s="35" t="str">
        <f>IF('After Exam Data Entry'!D14="", "", 'After Exam Data Entry'!D14)</f>
        <v>B</v>
      </c>
      <c r="G14" s="36" t="str">
        <f t="shared" si="0"/>
        <v/>
      </c>
      <c r="H14" s="71"/>
      <c r="I14" s="69"/>
    </row>
    <row r="15" spans="1:16" ht="16.8" thickTop="1" thickBot="1">
      <c r="A15" s="69"/>
      <c r="B15" s="34">
        <v>10</v>
      </c>
      <c r="C15" s="35">
        <f>IF('After Exam Data Entry'!B15="", "", 'After Exam Data Entry'!B15)</f>
        <v>1</v>
      </c>
      <c r="D15" s="35">
        <f>IF(C15="", "", IF('After Exam Data Entry'!C15="", 0, 'After Exam Data Entry'!C15))</f>
        <v>0</v>
      </c>
      <c r="E15" s="35" t="str">
        <f>IF('MCQ TEST SHEET'!G16="", "", 'MCQ TEST SHEET'!G16)</f>
        <v/>
      </c>
      <c r="F15" s="35" t="str">
        <f>IF('After Exam Data Entry'!D15="", "", 'After Exam Data Entry'!D15)</f>
        <v>A</v>
      </c>
      <c r="G15" s="36" t="str">
        <f t="shared" si="0"/>
        <v/>
      </c>
      <c r="H15" s="71"/>
      <c r="I15" s="69"/>
    </row>
    <row r="16" spans="1:16" ht="16.8" thickTop="1" thickBot="1">
      <c r="A16" s="69"/>
      <c r="B16" s="34">
        <v>11</v>
      </c>
      <c r="C16" s="35">
        <f>IF('After Exam Data Entry'!B16="", "", 'After Exam Data Entry'!B16)</f>
        <v>1</v>
      </c>
      <c r="D16" s="35">
        <f>IF(C16="", "", IF('After Exam Data Entry'!C16="", 0, 'After Exam Data Entry'!C16))</f>
        <v>0</v>
      </c>
      <c r="E16" s="35" t="str">
        <f>IF('MCQ TEST SHEET'!G17="", "", 'MCQ TEST SHEET'!G17)</f>
        <v/>
      </c>
      <c r="F16" s="35" t="str">
        <f>IF('After Exam Data Entry'!D16="", "", 'After Exam Data Entry'!D16)</f>
        <v>C</v>
      </c>
      <c r="G16" s="36" t="str">
        <f t="shared" si="0"/>
        <v/>
      </c>
      <c r="H16" s="71"/>
      <c r="I16" s="69"/>
    </row>
    <row r="17" spans="1:9" ht="16.8" thickTop="1" thickBot="1">
      <c r="A17" s="69"/>
      <c r="B17" s="34">
        <v>12</v>
      </c>
      <c r="C17" s="35">
        <f>IF('After Exam Data Entry'!B17="", "", 'After Exam Data Entry'!B17)</f>
        <v>1</v>
      </c>
      <c r="D17" s="35">
        <f>IF(C17="", "", IF('After Exam Data Entry'!C17="", 0, 'After Exam Data Entry'!C17))</f>
        <v>0</v>
      </c>
      <c r="E17" s="35" t="str">
        <f>IF('MCQ TEST SHEET'!G18="", "", 'MCQ TEST SHEET'!G18)</f>
        <v/>
      </c>
      <c r="F17" s="35" t="str">
        <f>IF('After Exam Data Entry'!D17="", "", 'After Exam Data Entry'!D17)</f>
        <v>B</v>
      </c>
      <c r="G17" s="36" t="str">
        <f t="shared" si="0"/>
        <v/>
      </c>
      <c r="H17" s="71"/>
      <c r="I17" s="69"/>
    </row>
    <row r="18" spans="1:9" ht="16.8" thickTop="1" thickBot="1">
      <c r="A18" s="69"/>
      <c r="B18" s="34">
        <v>13</v>
      </c>
      <c r="C18" s="35">
        <f>IF('After Exam Data Entry'!B18="", "", 'After Exam Data Entry'!B18)</f>
        <v>1</v>
      </c>
      <c r="D18" s="35">
        <f>IF(C18="", "", IF('After Exam Data Entry'!C18="", 0, 'After Exam Data Entry'!C18))</f>
        <v>0</v>
      </c>
      <c r="E18" s="35" t="str">
        <f>IF('MCQ TEST SHEET'!G19="", "", 'MCQ TEST SHEET'!G19)</f>
        <v/>
      </c>
      <c r="F18" s="35" t="str">
        <f>IF('After Exam Data Entry'!D18="", "", 'After Exam Data Entry'!D18)</f>
        <v>C</v>
      </c>
      <c r="G18" s="36" t="str">
        <f t="shared" si="0"/>
        <v/>
      </c>
      <c r="H18" s="71"/>
      <c r="I18" s="69"/>
    </row>
    <row r="19" spans="1:9" ht="16.8" thickTop="1" thickBot="1">
      <c r="A19" s="69"/>
      <c r="B19" s="34">
        <v>14</v>
      </c>
      <c r="C19" s="35">
        <f>IF('After Exam Data Entry'!B19="", "", 'After Exam Data Entry'!B19)</f>
        <v>1</v>
      </c>
      <c r="D19" s="35">
        <f>IF(C19="", "", IF('After Exam Data Entry'!C19="", 0, 'After Exam Data Entry'!C19))</f>
        <v>0</v>
      </c>
      <c r="E19" s="35" t="str">
        <f>IF('MCQ TEST SHEET'!G20="", "", 'MCQ TEST SHEET'!G20)</f>
        <v/>
      </c>
      <c r="F19" s="35" t="str">
        <f>IF('After Exam Data Entry'!D19="", "", 'After Exam Data Entry'!D19)</f>
        <v>A</v>
      </c>
      <c r="G19" s="36" t="str">
        <f t="shared" si="0"/>
        <v/>
      </c>
      <c r="H19" s="71"/>
      <c r="I19" s="69"/>
    </row>
    <row r="20" spans="1:9" ht="16.8" thickTop="1" thickBot="1">
      <c r="A20" s="69"/>
      <c r="B20" s="34">
        <v>15</v>
      </c>
      <c r="C20" s="35">
        <f>IF('After Exam Data Entry'!B20="", "", 'After Exam Data Entry'!B20)</f>
        <v>1</v>
      </c>
      <c r="D20" s="35">
        <f>IF(C20="", "", IF('After Exam Data Entry'!C20="", 0, 'After Exam Data Entry'!C20))</f>
        <v>0</v>
      </c>
      <c r="E20" s="35" t="str">
        <f>IF('MCQ TEST SHEET'!G21="", "", 'MCQ TEST SHEET'!G21)</f>
        <v/>
      </c>
      <c r="F20" s="35" t="str">
        <f>IF('After Exam Data Entry'!D20="", "", 'After Exam Data Entry'!D20)</f>
        <v>C</v>
      </c>
      <c r="G20" s="36" t="str">
        <f t="shared" si="0"/>
        <v/>
      </c>
      <c r="H20" s="71"/>
      <c r="I20" s="69"/>
    </row>
    <row r="21" spans="1:9" ht="16.8" thickTop="1" thickBot="1">
      <c r="A21" s="69"/>
      <c r="B21" s="34">
        <v>16</v>
      </c>
      <c r="C21" s="35">
        <f>IF('After Exam Data Entry'!B21="", "", 'After Exam Data Entry'!B21)</f>
        <v>1</v>
      </c>
      <c r="D21" s="35">
        <f>IF(C21="", "", IF('After Exam Data Entry'!C21="", 0, 'After Exam Data Entry'!C21))</f>
        <v>0</v>
      </c>
      <c r="E21" s="35" t="str">
        <f>IF('MCQ TEST SHEET'!G22="", "", 'MCQ TEST SHEET'!G22)</f>
        <v/>
      </c>
      <c r="F21" s="35" t="str">
        <f>IF('After Exam Data Entry'!D21="", "", 'After Exam Data Entry'!D21)</f>
        <v>D</v>
      </c>
      <c r="G21" s="36" t="str">
        <f t="shared" si="0"/>
        <v/>
      </c>
      <c r="H21" s="71"/>
      <c r="I21" s="69"/>
    </row>
    <row r="22" spans="1:9" ht="16.8" thickTop="1" thickBot="1">
      <c r="A22" s="69"/>
      <c r="B22" s="34">
        <v>17</v>
      </c>
      <c r="C22" s="35">
        <f>IF('After Exam Data Entry'!B22="", "", 'After Exam Data Entry'!B22)</f>
        <v>1</v>
      </c>
      <c r="D22" s="35">
        <f>IF(C22="", "", IF('After Exam Data Entry'!C22="", 0, 'After Exam Data Entry'!C22))</f>
        <v>0</v>
      </c>
      <c r="E22" s="35" t="str">
        <f>IF('MCQ TEST SHEET'!G23="", "", 'MCQ TEST SHEET'!G23)</f>
        <v/>
      </c>
      <c r="F22" s="35" t="str">
        <f>IF('After Exam Data Entry'!D22="", "", 'After Exam Data Entry'!D22)</f>
        <v>B</v>
      </c>
      <c r="G22" s="36" t="str">
        <f t="shared" si="0"/>
        <v/>
      </c>
      <c r="H22" s="71"/>
      <c r="I22" s="69"/>
    </row>
    <row r="23" spans="1:9" ht="16.8" thickTop="1" thickBot="1">
      <c r="A23" s="69"/>
      <c r="B23" s="34">
        <v>18</v>
      </c>
      <c r="C23" s="35">
        <f>IF('After Exam Data Entry'!B23="", "", 'After Exam Data Entry'!B23)</f>
        <v>1</v>
      </c>
      <c r="D23" s="35">
        <f>IF(C23="", "", IF('After Exam Data Entry'!C23="", 0, 'After Exam Data Entry'!C23))</f>
        <v>0</v>
      </c>
      <c r="E23" s="35" t="str">
        <f>IF('MCQ TEST SHEET'!G24="", "", 'MCQ TEST SHEET'!G24)</f>
        <v/>
      </c>
      <c r="F23" s="35" t="str">
        <f>IF('After Exam Data Entry'!D23="", "", 'After Exam Data Entry'!D23)</f>
        <v>C</v>
      </c>
      <c r="G23" s="36" t="str">
        <f t="shared" si="0"/>
        <v/>
      </c>
      <c r="H23" s="71"/>
      <c r="I23" s="69"/>
    </row>
    <row r="24" spans="1:9" ht="16.8" thickTop="1" thickBot="1">
      <c r="A24" s="69"/>
      <c r="B24" s="34">
        <v>19</v>
      </c>
      <c r="C24" s="35">
        <f>IF('After Exam Data Entry'!B24="", "", 'After Exam Data Entry'!B24)</f>
        <v>1</v>
      </c>
      <c r="D24" s="35">
        <f>IF(C24="", "", IF('After Exam Data Entry'!C24="", 0, 'After Exam Data Entry'!C24))</f>
        <v>0</v>
      </c>
      <c r="E24" s="35" t="str">
        <f>IF('MCQ TEST SHEET'!G25="", "", 'MCQ TEST SHEET'!G25)</f>
        <v/>
      </c>
      <c r="F24" s="35" t="str">
        <f>IF('After Exam Data Entry'!D24="", "", 'After Exam Data Entry'!D24)</f>
        <v>D</v>
      </c>
      <c r="G24" s="36" t="str">
        <f t="shared" si="0"/>
        <v/>
      </c>
      <c r="H24" s="71"/>
      <c r="I24" s="69"/>
    </row>
    <row r="25" spans="1:9" ht="16.8" thickTop="1" thickBot="1">
      <c r="A25" s="69"/>
      <c r="B25" s="34">
        <v>20</v>
      </c>
      <c r="C25" s="35">
        <f>IF('After Exam Data Entry'!B25="", "", 'After Exam Data Entry'!B25)</f>
        <v>1</v>
      </c>
      <c r="D25" s="35">
        <f>IF(C25="", "", IF('After Exam Data Entry'!C25="", 0, 'After Exam Data Entry'!C25))</f>
        <v>0</v>
      </c>
      <c r="E25" s="35" t="str">
        <f>IF('MCQ TEST SHEET'!G26="", "", 'MCQ TEST SHEET'!G26)</f>
        <v/>
      </c>
      <c r="F25" s="35" t="str">
        <f>IF('After Exam Data Entry'!D25="", "", 'After Exam Data Entry'!D25)</f>
        <v>A</v>
      </c>
      <c r="G25" s="36" t="str">
        <f t="shared" si="0"/>
        <v/>
      </c>
      <c r="H25" s="71"/>
      <c r="I25" s="69"/>
    </row>
    <row r="26" spans="1:9" ht="16.8" thickTop="1" thickBot="1">
      <c r="A26" s="69"/>
      <c r="B26" s="34">
        <v>21</v>
      </c>
      <c r="C26" s="35">
        <f>IF('After Exam Data Entry'!B26="", "", 'After Exam Data Entry'!B26)</f>
        <v>1</v>
      </c>
      <c r="D26" s="35">
        <f>IF(C26="", "", IF('After Exam Data Entry'!C26="", 0, 'After Exam Data Entry'!C26))</f>
        <v>0</v>
      </c>
      <c r="E26" s="35" t="str">
        <f>IF('MCQ TEST SHEET'!G27="", "", 'MCQ TEST SHEET'!G27)</f>
        <v/>
      </c>
      <c r="F26" s="35" t="str">
        <f>IF('After Exam Data Entry'!D26="", "", 'After Exam Data Entry'!D26)</f>
        <v>C</v>
      </c>
      <c r="G26" s="36" t="str">
        <f t="shared" si="0"/>
        <v/>
      </c>
      <c r="H26" s="71"/>
      <c r="I26" s="69"/>
    </row>
    <row r="27" spans="1:9" ht="16.8" thickTop="1" thickBot="1">
      <c r="A27" s="69"/>
      <c r="B27" s="34">
        <v>22</v>
      </c>
      <c r="C27" s="35">
        <f>IF('After Exam Data Entry'!B27="", "", 'After Exam Data Entry'!B27)</f>
        <v>1</v>
      </c>
      <c r="D27" s="35">
        <f>IF(C27="", "", IF('After Exam Data Entry'!C27="", 0, 'After Exam Data Entry'!C27))</f>
        <v>0</v>
      </c>
      <c r="E27" s="35" t="str">
        <f>IF('MCQ TEST SHEET'!G28="", "", 'MCQ TEST SHEET'!G28)</f>
        <v/>
      </c>
      <c r="F27" s="35" t="str">
        <f>IF('After Exam Data Entry'!D27="", "", 'After Exam Data Entry'!D27)</f>
        <v>B</v>
      </c>
      <c r="G27" s="36" t="str">
        <f t="shared" si="0"/>
        <v/>
      </c>
      <c r="H27" s="71"/>
      <c r="I27" s="69"/>
    </row>
    <row r="28" spans="1:9" ht="16.8" thickTop="1" thickBot="1">
      <c r="A28" s="69"/>
      <c r="B28" s="34">
        <v>23</v>
      </c>
      <c r="C28" s="35">
        <f>IF('After Exam Data Entry'!B28="", "", 'After Exam Data Entry'!B28)</f>
        <v>1</v>
      </c>
      <c r="D28" s="35">
        <f>IF(C28="", "", IF('After Exam Data Entry'!C28="", 0, 'After Exam Data Entry'!C28))</f>
        <v>0</v>
      </c>
      <c r="E28" s="35" t="str">
        <f>IF('MCQ TEST SHEET'!G29="", "", 'MCQ TEST SHEET'!G29)</f>
        <v/>
      </c>
      <c r="F28" s="35" t="str">
        <f>IF('After Exam Data Entry'!D28="", "", 'After Exam Data Entry'!D28)</f>
        <v>D</v>
      </c>
      <c r="G28" s="36" t="str">
        <f t="shared" si="0"/>
        <v/>
      </c>
      <c r="H28" s="71"/>
      <c r="I28" s="69"/>
    </row>
    <row r="29" spans="1:9" ht="16.8" thickTop="1" thickBot="1">
      <c r="A29" s="69"/>
      <c r="B29" s="34">
        <v>24</v>
      </c>
      <c r="C29" s="35">
        <f>IF('After Exam Data Entry'!B29="", "", 'After Exam Data Entry'!B29)</f>
        <v>1</v>
      </c>
      <c r="D29" s="35">
        <f>IF(C29="", "", IF('After Exam Data Entry'!C29="", 0, 'After Exam Data Entry'!C29))</f>
        <v>0</v>
      </c>
      <c r="E29" s="35" t="str">
        <f>IF('MCQ TEST SHEET'!G30="", "", 'MCQ TEST SHEET'!G30)</f>
        <v/>
      </c>
      <c r="F29" s="35" t="str">
        <f>IF('After Exam Data Entry'!D29="", "", 'After Exam Data Entry'!D29)</f>
        <v>A</v>
      </c>
      <c r="G29" s="36" t="str">
        <f t="shared" si="0"/>
        <v/>
      </c>
      <c r="H29" s="71"/>
      <c r="I29" s="69"/>
    </row>
    <row r="30" spans="1:9" ht="16.8" thickTop="1" thickBot="1">
      <c r="A30" s="69"/>
      <c r="B30" s="34">
        <v>25</v>
      </c>
      <c r="C30" s="35">
        <f>IF('After Exam Data Entry'!B30="", "", 'After Exam Data Entry'!B30)</f>
        <v>1</v>
      </c>
      <c r="D30" s="35">
        <f>IF(C30="", "", IF('After Exam Data Entry'!C30="", 0, 'After Exam Data Entry'!C30))</f>
        <v>0</v>
      </c>
      <c r="E30" s="35" t="str">
        <f>IF('MCQ TEST SHEET'!G31="", "", 'MCQ TEST SHEET'!G31)</f>
        <v/>
      </c>
      <c r="F30" s="35" t="str">
        <f>IF('After Exam Data Entry'!D30="", "", 'After Exam Data Entry'!D30)</f>
        <v>A</v>
      </c>
      <c r="G30" s="36" t="str">
        <f t="shared" si="0"/>
        <v/>
      </c>
      <c r="H30" s="71"/>
      <c r="I30" s="69"/>
    </row>
    <row r="31" spans="1:9" ht="16.8" thickTop="1" thickBot="1">
      <c r="A31" s="69"/>
      <c r="B31" s="34">
        <v>26</v>
      </c>
      <c r="C31" s="35">
        <f>IF('After Exam Data Entry'!B31="", "", 'After Exam Data Entry'!B31)</f>
        <v>1</v>
      </c>
      <c r="D31" s="35">
        <f>IF(C31="", "", IF('After Exam Data Entry'!C31="", 0, 'After Exam Data Entry'!C31))</f>
        <v>0</v>
      </c>
      <c r="E31" s="35" t="str">
        <f>IF('MCQ TEST SHEET'!G32="", "", 'MCQ TEST SHEET'!G32)</f>
        <v/>
      </c>
      <c r="F31" s="35" t="str">
        <f>IF('After Exam Data Entry'!D31="", "", 'After Exam Data Entry'!D31)</f>
        <v>D</v>
      </c>
      <c r="G31" s="36" t="str">
        <f t="shared" si="0"/>
        <v/>
      </c>
      <c r="H31" s="71"/>
      <c r="I31" s="69"/>
    </row>
    <row r="32" spans="1:9" ht="16.8" thickTop="1" thickBot="1">
      <c r="A32" s="69"/>
      <c r="B32" s="34">
        <v>27</v>
      </c>
      <c r="C32" s="35">
        <f>IF('After Exam Data Entry'!B32="", "", 'After Exam Data Entry'!B32)</f>
        <v>1</v>
      </c>
      <c r="D32" s="35">
        <f>IF(C32="", "", IF('After Exam Data Entry'!C32="", 0, 'After Exam Data Entry'!C32))</f>
        <v>0</v>
      </c>
      <c r="E32" s="35" t="str">
        <f>IF('MCQ TEST SHEET'!G33="", "", 'MCQ TEST SHEET'!G33)</f>
        <v/>
      </c>
      <c r="F32" s="35" t="str">
        <f>IF('After Exam Data Entry'!D32="", "", 'After Exam Data Entry'!D32)</f>
        <v>B</v>
      </c>
      <c r="G32" s="36" t="str">
        <f t="shared" si="0"/>
        <v/>
      </c>
      <c r="H32" s="71"/>
      <c r="I32" s="69"/>
    </row>
    <row r="33" spans="1:9" ht="16.8" thickTop="1" thickBot="1">
      <c r="A33" s="69"/>
      <c r="B33" s="34">
        <v>28</v>
      </c>
      <c r="C33" s="35">
        <f>IF('After Exam Data Entry'!B33="", "", 'After Exam Data Entry'!B33)</f>
        <v>1</v>
      </c>
      <c r="D33" s="35">
        <f>IF(C33="", "", IF('After Exam Data Entry'!C33="", 0, 'After Exam Data Entry'!C33))</f>
        <v>0</v>
      </c>
      <c r="E33" s="35" t="str">
        <f>IF('MCQ TEST SHEET'!G34="", "", 'MCQ TEST SHEET'!G34)</f>
        <v/>
      </c>
      <c r="F33" s="35" t="str">
        <f>IF('After Exam Data Entry'!D33="", "", 'After Exam Data Entry'!D33)</f>
        <v>A</v>
      </c>
      <c r="G33" s="36" t="str">
        <f t="shared" si="0"/>
        <v/>
      </c>
      <c r="H33" s="71"/>
      <c r="I33" s="69"/>
    </row>
    <row r="34" spans="1:9" ht="16.8" thickTop="1" thickBot="1">
      <c r="A34" s="69"/>
      <c r="B34" s="34">
        <v>29</v>
      </c>
      <c r="C34" s="35">
        <f>IF('After Exam Data Entry'!B34="", "", 'After Exam Data Entry'!B34)</f>
        <v>1</v>
      </c>
      <c r="D34" s="35">
        <f>IF(C34="", "", IF('After Exam Data Entry'!C34="", 0, 'After Exam Data Entry'!C34))</f>
        <v>0</v>
      </c>
      <c r="E34" s="35" t="str">
        <f>IF('MCQ TEST SHEET'!G35="", "", 'MCQ TEST SHEET'!G35)</f>
        <v/>
      </c>
      <c r="F34" s="35" t="str">
        <f>IF('After Exam Data Entry'!D34="", "", 'After Exam Data Entry'!D34)</f>
        <v>A</v>
      </c>
      <c r="G34" s="36" t="str">
        <f t="shared" si="0"/>
        <v/>
      </c>
      <c r="H34" s="71"/>
      <c r="I34" s="69"/>
    </row>
    <row r="35" spans="1:9" ht="16.8" thickTop="1" thickBot="1">
      <c r="A35" s="69"/>
      <c r="B35" s="34">
        <v>30</v>
      </c>
      <c r="C35" s="35">
        <f>IF('After Exam Data Entry'!B35="", "", 'After Exam Data Entry'!B35)</f>
        <v>1</v>
      </c>
      <c r="D35" s="35">
        <f>IF(C35="", "", IF('After Exam Data Entry'!C35="", 0, 'After Exam Data Entry'!C35))</f>
        <v>0</v>
      </c>
      <c r="E35" s="35" t="str">
        <f>IF('MCQ TEST SHEET'!G36="", "", 'MCQ TEST SHEET'!G36)</f>
        <v/>
      </c>
      <c r="F35" s="35" t="str">
        <f>IF('After Exam Data Entry'!D35="", "", 'After Exam Data Entry'!D35)</f>
        <v>B</v>
      </c>
      <c r="G35" s="36" t="str">
        <f t="shared" si="0"/>
        <v/>
      </c>
      <c r="H35" s="71"/>
      <c r="I35" s="69"/>
    </row>
    <row r="36" spans="1:9" ht="16.8" thickTop="1" thickBot="1">
      <c r="A36" s="69"/>
      <c r="B36" s="34">
        <v>31</v>
      </c>
      <c r="C36" s="35">
        <f>IF('After Exam Data Entry'!B36="", "", 'After Exam Data Entry'!B36)</f>
        <v>1</v>
      </c>
      <c r="D36" s="35">
        <f>IF(C36="", "", IF('After Exam Data Entry'!C36="", 0, 'After Exam Data Entry'!C36))</f>
        <v>0</v>
      </c>
      <c r="E36" s="35" t="str">
        <f>IF('MCQ TEST SHEET'!G37="", "", 'MCQ TEST SHEET'!G37)</f>
        <v/>
      </c>
      <c r="F36" s="35" t="str">
        <f>IF('After Exam Data Entry'!D36="", "", 'After Exam Data Entry'!D36)</f>
        <v>C</v>
      </c>
      <c r="G36" s="36" t="str">
        <f t="shared" si="0"/>
        <v/>
      </c>
      <c r="H36" s="71"/>
      <c r="I36" s="69"/>
    </row>
    <row r="37" spans="1:9" ht="16.8" thickTop="1" thickBot="1">
      <c r="A37" s="69"/>
      <c r="B37" s="34">
        <v>32</v>
      </c>
      <c r="C37" s="35">
        <f>IF('After Exam Data Entry'!B37="", "", 'After Exam Data Entry'!B37)</f>
        <v>1</v>
      </c>
      <c r="D37" s="35">
        <f>IF(C37="", "", IF('After Exam Data Entry'!C37="", 0, 'After Exam Data Entry'!C37))</f>
        <v>0</v>
      </c>
      <c r="E37" s="35" t="str">
        <f>IF('MCQ TEST SHEET'!G38="", "", 'MCQ TEST SHEET'!G38)</f>
        <v/>
      </c>
      <c r="F37" s="35" t="str">
        <f>IF('After Exam Data Entry'!D37="", "", 'After Exam Data Entry'!D37)</f>
        <v>A</v>
      </c>
      <c r="G37" s="36" t="str">
        <f t="shared" si="0"/>
        <v/>
      </c>
      <c r="H37" s="71"/>
      <c r="I37" s="69"/>
    </row>
    <row r="38" spans="1:9" ht="16.8" thickTop="1" thickBot="1">
      <c r="A38" s="69"/>
      <c r="B38" s="34">
        <v>33</v>
      </c>
      <c r="C38" s="35">
        <f>IF('After Exam Data Entry'!B38="", "", 'After Exam Data Entry'!B38)</f>
        <v>1</v>
      </c>
      <c r="D38" s="35">
        <f>IF(C38="", "", IF('After Exam Data Entry'!C38="", 0, 'After Exam Data Entry'!C38))</f>
        <v>0</v>
      </c>
      <c r="E38" s="35" t="str">
        <f>IF('MCQ TEST SHEET'!G39="", "", 'MCQ TEST SHEET'!G39)</f>
        <v/>
      </c>
      <c r="F38" s="35" t="str">
        <f>IF('After Exam Data Entry'!D38="", "", 'After Exam Data Entry'!D38)</f>
        <v>B</v>
      </c>
      <c r="G38" s="36" t="str">
        <f t="shared" si="0"/>
        <v/>
      </c>
      <c r="H38" s="71"/>
      <c r="I38" s="69"/>
    </row>
    <row r="39" spans="1:9" ht="16.8" thickTop="1" thickBot="1">
      <c r="A39" s="69"/>
      <c r="B39" s="34">
        <v>34</v>
      </c>
      <c r="C39" s="35">
        <f>IF('After Exam Data Entry'!B39="", "", 'After Exam Data Entry'!B39)</f>
        <v>1</v>
      </c>
      <c r="D39" s="35">
        <f>IF(C39="", "", IF('After Exam Data Entry'!C39="", 0, 'After Exam Data Entry'!C39))</f>
        <v>0</v>
      </c>
      <c r="E39" s="35" t="str">
        <f>IF('MCQ TEST SHEET'!G40="", "", 'MCQ TEST SHEET'!G40)</f>
        <v/>
      </c>
      <c r="F39" s="35" t="str">
        <f>IF('After Exam Data Entry'!D39="", "", 'After Exam Data Entry'!D39)</f>
        <v>A</v>
      </c>
      <c r="G39" s="36" t="str">
        <f t="shared" si="0"/>
        <v/>
      </c>
      <c r="H39" s="71"/>
      <c r="I39" s="69"/>
    </row>
    <row r="40" spans="1:9" ht="16.8" thickTop="1" thickBot="1">
      <c r="A40" s="69"/>
      <c r="B40" s="34">
        <v>35</v>
      </c>
      <c r="C40" s="35">
        <f>IF('After Exam Data Entry'!B40="", "", 'After Exam Data Entry'!B40)</f>
        <v>1</v>
      </c>
      <c r="D40" s="35">
        <f>IF(C40="", "", IF('After Exam Data Entry'!C40="", 0, 'After Exam Data Entry'!C40))</f>
        <v>0</v>
      </c>
      <c r="E40" s="35" t="str">
        <f>IF('MCQ TEST SHEET'!G41="", "", 'MCQ TEST SHEET'!G41)</f>
        <v/>
      </c>
      <c r="F40" s="35" t="str">
        <f>IF('After Exam Data Entry'!D40="", "", 'After Exam Data Entry'!D40)</f>
        <v>B</v>
      </c>
      <c r="G40" s="36" t="str">
        <f t="shared" si="0"/>
        <v/>
      </c>
      <c r="H40" s="71"/>
      <c r="I40" s="69"/>
    </row>
    <row r="41" spans="1:9" ht="16.8" thickTop="1" thickBot="1">
      <c r="A41" s="69"/>
      <c r="B41" s="34">
        <v>36</v>
      </c>
      <c r="C41" s="35">
        <f>IF('After Exam Data Entry'!B41="", "", 'After Exam Data Entry'!B41)</f>
        <v>1</v>
      </c>
      <c r="D41" s="35">
        <f>IF(C41="", "", IF('After Exam Data Entry'!C41="", 0, 'After Exam Data Entry'!C41))</f>
        <v>0</v>
      </c>
      <c r="E41" s="35" t="str">
        <f>IF('MCQ TEST SHEET'!G42="", "", 'MCQ TEST SHEET'!G42)</f>
        <v/>
      </c>
      <c r="F41" s="35" t="str">
        <f>IF('After Exam Data Entry'!D41="", "", 'After Exam Data Entry'!D41)</f>
        <v>D</v>
      </c>
      <c r="G41" s="36" t="str">
        <f t="shared" si="0"/>
        <v/>
      </c>
      <c r="H41" s="71"/>
      <c r="I41" s="69"/>
    </row>
    <row r="42" spans="1:9" ht="16.8" thickTop="1" thickBot="1">
      <c r="A42" s="69"/>
      <c r="B42" s="34">
        <v>37</v>
      </c>
      <c r="C42" s="35">
        <f>IF('After Exam Data Entry'!B42="", "", 'After Exam Data Entry'!B42)</f>
        <v>1</v>
      </c>
      <c r="D42" s="35">
        <f>IF(C42="", "", IF('After Exam Data Entry'!C42="", 0, 'After Exam Data Entry'!C42))</f>
        <v>0</v>
      </c>
      <c r="E42" s="35" t="str">
        <f>IF('MCQ TEST SHEET'!G43="", "", 'MCQ TEST SHEET'!G43)</f>
        <v/>
      </c>
      <c r="F42" s="35" t="str">
        <f>IF('After Exam Data Entry'!D42="", "", 'After Exam Data Entry'!D42)</f>
        <v>A</v>
      </c>
      <c r="G42" s="36" t="str">
        <f t="shared" si="0"/>
        <v/>
      </c>
      <c r="H42" s="71"/>
      <c r="I42" s="69"/>
    </row>
    <row r="43" spans="1:9" ht="16.8" thickTop="1" thickBot="1">
      <c r="A43" s="69"/>
      <c r="B43" s="34">
        <v>38</v>
      </c>
      <c r="C43" s="35">
        <f>IF('After Exam Data Entry'!B43="", "", 'After Exam Data Entry'!B43)</f>
        <v>1</v>
      </c>
      <c r="D43" s="35">
        <f>IF(C43="", "", IF('After Exam Data Entry'!C43="", 0, 'After Exam Data Entry'!C43))</f>
        <v>0</v>
      </c>
      <c r="E43" s="35" t="str">
        <f>IF('MCQ TEST SHEET'!G44="", "", 'MCQ TEST SHEET'!G44)</f>
        <v/>
      </c>
      <c r="F43" s="35" t="str">
        <f>IF('After Exam Data Entry'!D43="", "", 'After Exam Data Entry'!D43)</f>
        <v>B</v>
      </c>
      <c r="G43" s="36" t="str">
        <f t="shared" si="0"/>
        <v/>
      </c>
      <c r="H43" s="71"/>
      <c r="I43" s="69"/>
    </row>
    <row r="44" spans="1:9" ht="16.8" thickTop="1" thickBot="1">
      <c r="A44" s="69"/>
      <c r="B44" s="34">
        <v>39</v>
      </c>
      <c r="C44" s="35">
        <f>IF('After Exam Data Entry'!B44="", "", 'After Exam Data Entry'!B44)</f>
        <v>1</v>
      </c>
      <c r="D44" s="35">
        <f>IF(C44="", "", IF('After Exam Data Entry'!C44="", 0, 'After Exam Data Entry'!C44))</f>
        <v>0</v>
      </c>
      <c r="E44" s="35" t="str">
        <f>IF('MCQ TEST SHEET'!G45="", "", 'MCQ TEST SHEET'!G45)</f>
        <v/>
      </c>
      <c r="F44" s="35" t="str">
        <f>IF('After Exam Data Entry'!D44="", "", 'After Exam Data Entry'!D44)</f>
        <v>A</v>
      </c>
      <c r="G44" s="36" t="str">
        <f t="shared" si="0"/>
        <v/>
      </c>
      <c r="H44" s="71"/>
      <c r="I44" s="69"/>
    </row>
    <row r="45" spans="1:9" ht="16.8" thickTop="1" thickBot="1">
      <c r="A45" s="69"/>
      <c r="B45" s="34">
        <v>40</v>
      </c>
      <c r="C45" s="35">
        <f>IF('After Exam Data Entry'!B45="", "", 'After Exam Data Entry'!B45)</f>
        <v>1</v>
      </c>
      <c r="D45" s="35">
        <f>IF(C45="", "", IF('After Exam Data Entry'!C45="", 0, 'After Exam Data Entry'!C45))</f>
        <v>0</v>
      </c>
      <c r="E45" s="35" t="str">
        <f>IF('MCQ TEST SHEET'!G46="", "", 'MCQ TEST SHEET'!G46)</f>
        <v/>
      </c>
      <c r="F45" s="35" t="str">
        <f>IF('After Exam Data Entry'!D45="", "", 'After Exam Data Entry'!D45)</f>
        <v>D</v>
      </c>
      <c r="G45" s="36" t="str">
        <f t="shared" si="0"/>
        <v/>
      </c>
      <c r="H45" s="71"/>
      <c r="I45" s="69"/>
    </row>
    <row r="46" spans="1:9" ht="16.8" thickTop="1" thickBot="1">
      <c r="A46" s="69"/>
      <c r="B46" s="34">
        <v>41</v>
      </c>
      <c r="C46" s="35">
        <f>IF('After Exam Data Entry'!B46="", "", 'After Exam Data Entry'!B46)</f>
        <v>1</v>
      </c>
      <c r="D46" s="35">
        <f>IF(C46="", "", IF('After Exam Data Entry'!C46="", 0, 'After Exam Data Entry'!C46))</f>
        <v>0</v>
      </c>
      <c r="E46" s="35" t="str">
        <f>IF('MCQ TEST SHEET'!G47="", "", 'MCQ TEST SHEET'!G47)</f>
        <v/>
      </c>
      <c r="F46" s="35" t="str">
        <f>IF('After Exam Data Entry'!D46="", "", 'After Exam Data Entry'!D46)</f>
        <v>A</v>
      </c>
      <c r="G46" s="36" t="str">
        <f t="shared" si="0"/>
        <v/>
      </c>
      <c r="H46" s="71"/>
      <c r="I46" s="69"/>
    </row>
    <row r="47" spans="1:9" ht="16.8" thickTop="1" thickBot="1">
      <c r="A47" s="69"/>
      <c r="B47" s="34">
        <v>42</v>
      </c>
      <c r="C47" s="35">
        <f>IF('After Exam Data Entry'!B47="", "", 'After Exam Data Entry'!B47)</f>
        <v>1</v>
      </c>
      <c r="D47" s="35">
        <f>IF(C47="", "", IF('After Exam Data Entry'!C47="", 0, 'After Exam Data Entry'!C47))</f>
        <v>0</v>
      </c>
      <c r="E47" s="35" t="str">
        <f>IF('MCQ TEST SHEET'!G48="", "", 'MCQ TEST SHEET'!G48)</f>
        <v/>
      </c>
      <c r="F47" s="35" t="str">
        <f>IF('After Exam Data Entry'!D47="", "", 'After Exam Data Entry'!D47)</f>
        <v>A</v>
      </c>
      <c r="G47" s="36" t="str">
        <f t="shared" si="0"/>
        <v/>
      </c>
      <c r="H47" s="71"/>
      <c r="I47" s="69"/>
    </row>
    <row r="48" spans="1:9" ht="16.8" thickTop="1" thickBot="1">
      <c r="A48" s="69"/>
      <c r="B48" s="34">
        <v>43</v>
      </c>
      <c r="C48" s="35">
        <f>IF('After Exam Data Entry'!B48="", "", 'After Exam Data Entry'!B48)</f>
        <v>1</v>
      </c>
      <c r="D48" s="35">
        <f>IF(C48="", "", IF('After Exam Data Entry'!C48="", 0, 'After Exam Data Entry'!C48))</f>
        <v>0</v>
      </c>
      <c r="E48" s="35" t="str">
        <f>IF('MCQ TEST SHEET'!G49="", "", 'MCQ TEST SHEET'!G49)</f>
        <v/>
      </c>
      <c r="F48" s="35" t="str">
        <f>IF('After Exam Data Entry'!D48="", "", 'After Exam Data Entry'!D48)</f>
        <v>C</v>
      </c>
      <c r="G48" s="36" t="str">
        <f t="shared" si="0"/>
        <v/>
      </c>
      <c r="H48" s="71"/>
      <c r="I48" s="69"/>
    </row>
    <row r="49" spans="1:9" ht="16.8" thickTop="1" thickBot="1">
      <c r="A49" s="69"/>
      <c r="B49" s="34">
        <v>44</v>
      </c>
      <c r="C49" s="35">
        <f>IF('After Exam Data Entry'!B49="", "", 'After Exam Data Entry'!B49)</f>
        <v>1</v>
      </c>
      <c r="D49" s="35">
        <f>IF(C49="", "", IF('After Exam Data Entry'!C49="", 0, 'After Exam Data Entry'!C49))</f>
        <v>0</v>
      </c>
      <c r="E49" s="35" t="str">
        <f>IF('MCQ TEST SHEET'!G50="", "", 'MCQ TEST SHEET'!G50)</f>
        <v/>
      </c>
      <c r="F49" s="35" t="str">
        <f>IF('After Exam Data Entry'!D49="", "", 'After Exam Data Entry'!D49)</f>
        <v>B</v>
      </c>
      <c r="G49" s="36" t="str">
        <f t="shared" si="0"/>
        <v/>
      </c>
      <c r="H49" s="71"/>
      <c r="I49" s="69"/>
    </row>
    <row r="50" spans="1:9" ht="16.8" thickTop="1" thickBot="1">
      <c r="A50" s="69"/>
      <c r="B50" s="34">
        <v>45</v>
      </c>
      <c r="C50" s="35">
        <f>IF('After Exam Data Entry'!B50="", "", 'After Exam Data Entry'!B50)</f>
        <v>1</v>
      </c>
      <c r="D50" s="35">
        <f>IF(C50="", "", IF('After Exam Data Entry'!C50="", 0, 'After Exam Data Entry'!C50))</f>
        <v>0</v>
      </c>
      <c r="E50" s="35" t="str">
        <f>IF('MCQ TEST SHEET'!G51="", "", 'MCQ TEST SHEET'!G51)</f>
        <v/>
      </c>
      <c r="F50" s="35" t="str">
        <f>IF('After Exam Data Entry'!D50="", "", 'After Exam Data Entry'!D50)</f>
        <v>B</v>
      </c>
      <c r="G50" s="36" t="str">
        <f t="shared" si="0"/>
        <v/>
      </c>
      <c r="H50" s="71"/>
      <c r="I50" s="69"/>
    </row>
    <row r="51" spans="1:9" ht="16.8" thickTop="1" thickBot="1">
      <c r="A51" s="69"/>
      <c r="B51" s="34">
        <v>46</v>
      </c>
      <c r="C51" s="35">
        <f>IF('After Exam Data Entry'!B51="", "", 'After Exam Data Entry'!B51)</f>
        <v>1</v>
      </c>
      <c r="D51" s="35">
        <f>IF(C51="", "", IF('After Exam Data Entry'!C51="", 0, 'After Exam Data Entry'!C51))</f>
        <v>0</v>
      </c>
      <c r="E51" s="35" t="str">
        <f>IF('MCQ TEST SHEET'!G52="", "", 'MCQ TEST SHEET'!G52)</f>
        <v/>
      </c>
      <c r="F51" s="35" t="str">
        <f>IF('After Exam Data Entry'!D51="", "", 'After Exam Data Entry'!D51)</f>
        <v>A</v>
      </c>
      <c r="G51" s="36" t="str">
        <f t="shared" si="0"/>
        <v/>
      </c>
      <c r="H51" s="71"/>
      <c r="I51" s="69"/>
    </row>
    <row r="52" spans="1:9" ht="16.8" thickTop="1" thickBot="1">
      <c r="A52" s="69"/>
      <c r="B52" s="34">
        <v>47</v>
      </c>
      <c r="C52" s="35">
        <f>IF('After Exam Data Entry'!B52="", "", 'After Exam Data Entry'!B52)</f>
        <v>1</v>
      </c>
      <c r="D52" s="35">
        <f>IF(C52="", "", IF('After Exam Data Entry'!C52="", 0, 'After Exam Data Entry'!C52))</f>
        <v>0</v>
      </c>
      <c r="E52" s="35" t="str">
        <f>IF('MCQ TEST SHEET'!G53="", "", 'MCQ TEST SHEET'!G53)</f>
        <v/>
      </c>
      <c r="F52" s="35" t="str">
        <f>IF('After Exam Data Entry'!D52="", "", 'After Exam Data Entry'!D52)</f>
        <v>D</v>
      </c>
      <c r="G52" s="36" t="str">
        <f t="shared" si="0"/>
        <v/>
      </c>
      <c r="H52" s="71"/>
      <c r="I52" s="69"/>
    </row>
    <row r="53" spans="1:9" ht="16.8" thickTop="1" thickBot="1">
      <c r="A53" s="69"/>
      <c r="B53" s="34">
        <v>48</v>
      </c>
      <c r="C53" s="35">
        <f>IF('After Exam Data Entry'!B53="", "", 'After Exam Data Entry'!B53)</f>
        <v>1</v>
      </c>
      <c r="D53" s="35">
        <f>IF(C53="", "", IF('After Exam Data Entry'!C53="", 0, 'After Exam Data Entry'!C53))</f>
        <v>0</v>
      </c>
      <c r="E53" s="35" t="str">
        <f>IF('MCQ TEST SHEET'!G54="", "", 'MCQ TEST SHEET'!G54)</f>
        <v/>
      </c>
      <c r="F53" s="35" t="str">
        <f>IF('After Exam Data Entry'!D53="", "", 'After Exam Data Entry'!D53)</f>
        <v>C</v>
      </c>
      <c r="G53" s="36" t="str">
        <f t="shared" si="0"/>
        <v/>
      </c>
      <c r="H53" s="71"/>
      <c r="I53" s="69"/>
    </row>
    <row r="54" spans="1:9" ht="16.8" thickTop="1" thickBot="1">
      <c r="A54" s="69"/>
      <c r="B54" s="34">
        <v>49</v>
      </c>
      <c r="C54" s="35">
        <f>IF('After Exam Data Entry'!B54="", "", 'After Exam Data Entry'!B54)</f>
        <v>1</v>
      </c>
      <c r="D54" s="35">
        <f>IF(C54="", "", IF('After Exam Data Entry'!C54="", 0, 'After Exam Data Entry'!C54))</f>
        <v>0</v>
      </c>
      <c r="E54" s="35" t="str">
        <f>IF('MCQ TEST SHEET'!G55="", "", 'MCQ TEST SHEET'!G55)</f>
        <v/>
      </c>
      <c r="F54" s="35" t="str">
        <f>IF('After Exam Data Entry'!D54="", "", 'After Exam Data Entry'!D54)</f>
        <v>D</v>
      </c>
      <c r="G54" s="36" t="str">
        <f t="shared" si="0"/>
        <v/>
      </c>
      <c r="H54" s="71"/>
      <c r="I54" s="69"/>
    </row>
    <row r="55" spans="1:9" ht="16.8" thickTop="1" thickBot="1">
      <c r="A55" s="69"/>
      <c r="B55" s="34">
        <v>50</v>
      </c>
      <c r="C55" s="35">
        <f>IF('After Exam Data Entry'!B55="", "", 'After Exam Data Entry'!B55)</f>
        <v>1</v>
      </c>
      <c r="D55" s="35">
        <f>IF(C55="", "", IF('After Exam Data Entry'!C55="", 0, 'After Exam Data Entry'!C55))</f>
        <v>0</v>
      </c>
      <c r="E55" s="35" t="str">
        <f>IF('MCQ TEST SHEET'!G56="", "", 'MCQ TEST SHEET'!G56)</f>
        <v/>
      </c>
      <c r="F55" s="35" t="str">
        <f>IF('After Exam Data Entry'!D55="", "", 'After Exam Data Entry'!D55)</f>
        <v>D</v>
      </c>
      <c r="G55" s="36" t="str">
        <f t="shared" si="0"/>
        <v/>
      </c>
      <c r="H55" s="71"/>
      <c r="I55" s="69"/>
    </row>
    <row r="56" spans="1:9" ht="16.8" thickTop="1" thickBot="1">
      <c r="A56" s="69"/>
      <c r="B56" s="34">
        <v>51</v>
      </c>
      <c r="C56" s="35">
        <f>IF('After Exam Data Entry'!B56="", "", 'After Exam Data Entry'!B56)</f>
        <v>1</v>
      </c>
      <c r="D56" s="35">
        <f>IF(C56="", "", IF('After Exam Data Entry'!C56="", 0, 'After Exam Data Entry'!C56))</f>
        <v>0</v>
      </c>
      <c r="E56" s="35" t="str">
        <f>IF('MCQ TEST SHEET'!G57="", "", 'MCQ TEST SHEET'!G57)</f>
        <v/>
      </c>
      <c r="F56" s="35" t="str">
        <f>IF('After Exam Data Entry'!D56="", "", 'After Exam Data Entry'!D56)</f>
        <v>B</v>
      </c>
      <c r="G56" s="36" t="str">
        <f t="shared" si="0"/>
        <v/>
      </c>
      <c r="H56" s="71"/>
      <c r="I56" s="69"/>
    </row>
    <row r="57" spans="1:9" ht="16.8" thickTop="1" thickBot="1">
      <c r="A57" s="69"/>
      <c r="B57" s="34">
        <v>52</v>
      </c>
      <c r="C57" s="35">
        <f>IF('After Exam Data Entry'!B57="", "", 'After Exam Data Entry'!B57)</f>
        <v>1</v>
      </c>
      <c r="D57" s="35">
        <f>IF(C57="", "", IF('After Exam Data Entry'!C57="", 0, 'After Exam Data Entry'!C57))</f>
        <v>0</v>
      </c>
      <c r="E57" s="35" t="str">
        <f>IF('MCQ TEST SHEET'!G58="", "", 'MCQ TEST SHEET'!G58)</f>
        <v/>
      </c>
      <c r="F57" s="35" t="str">
        <f>IF('After Exam Data Entry'!D57="", "", 'After Exam Data Entry'!D57)</f>
        <v>A</v>
      </c>
      <c r="G57" s="36" t="str">
        <f t="shared" si="0"/>
        <v/>
      </c>
      <c r="H57" s="71"/>
      <c r="I57" s="69"/>
    </row>
    <row r="58" spans="1:9" ht="16.8" thickTop="1" thickBot="1">
      <c r="A58" s="69"/>
      <c r="B58" s="34">
        <v>53</v>
      </c>
      <c r="C58" s="35">
        <f>IF('After Exam Data Entry'!B58="", "", 'After Exam Data Entry'!B58)</f>
        <v>1</v>
      </c>
      <c r="D58" s="35">
        <f>IF(C58="", "", IF('After Exam Data Entry'!C58="", 0, 'After Exam Data Entry'!C58))</f>
        <v>0</v>
      </c>
      <c r="E58" s="35" t="str">
        <f>IF('MCQ TEST SHEET'!G59="", "", 'MCQ TEST SHEET'!G59)</f>
        <v/>
      </c>
      <c r="F58" s="35" t="str">
        <f>IF('After Exam Data Entry'!D58="", "", 'After Exam Data Entry'!D58)</f>
        <v>C</v>
      </c>
      <c r="G58" s="36" t="str">
        <f t="shared" si="0"/>
        <v/>
      </c>
      <c r="H58" s="71"/>
      <c r="I58" s="69"/>
    </row>
    <row r="59" spans="1:9" ht="16.8" thickTop="1" thickBot="1">
      <c r="A59" s="69"/>
      <c r="B59" s="34">
        <v>54</v>
      </c>
      <c r="C59" s="35">
        <f>IF('After Exam Data Entry'!B59="", "", 'After Exam Data Entry'!B59)</f>
        <v>1</v>
      </c>
      <c r="D59" s="35">
        <f>IF(C59="", "", IF('After Exam Data Entry'!C59="", 0, 'After Exam Data Entry'!C59))</f>
        <v>0</v>
      </c>
      <c r="E59" s="35" t="str">
        <f>IF('MCQ TEST SHEET'!G60="", "", 'MCQ TEST SHEET'!G60)</f>
        <v/>
      </c>
      <c r="F59" s="35" t="str">
        <f>IF('After Exam Data Entry'!D59="", "", 'After Exam Data Entry'!D59)</f>
        <v>B</v>
      </c>
      <c r="G59" s="36" t="str">
        <f t="shared" si="0"/>
        <v/>
      </c>
      <c r="H59" s="71"/>
      <c r="I59" s="69"/>
    </row>
    <row r="60" spans="1:9" ht="16.8" thickTop="1" thickBot="1">
      <c r="A60" s="69"/>
      <c r="B60" s="34">
        <v>55</v>
      </c>
      <c r="C60" s="35">
        <f>IF('After Exam Data Entry'!B60="", "", 'After Exam Data Entry'!B60)</f>
        <v>1</v>
      </c>
      <c r="D60" s="35">
        <f>IF(C60="", "", IF('After Exam Data Entry'!C60="", 0, 'After Exam Data Entry'!C60))</f>
        <v>0</v>
      </c>
      <c r="E60" s="35" t="str">
        <f>IF('MCQ TEST SHEET'!G61="", "", 'MCQ TEST SHEET'!G61)</f>
        <v/>
      </c>
      <c r="F60" s="35" t="str">
        <f>IF('After Exam Data Entry'!D60="", "", 'After Exam Data Entry'!D60)</f>
        <v>B</v>
      </c>
      <c r="G60" s="36" t="str">
        <f t="shared" si="0"/>
        <v/>
      </c>
      <c r="H60" s="71"/>
      <c r="I60" s="69"/>
    </row>
    <row r="61" spans="1:9" ht="16.8" thickTop="1" thickBot="1">
      <c r="A61" s="69"/>
      <c r="B61" s="34">
        <v>56</v>
      </c>
      <c r="C61" s="35">
        <f>IF('After Exam Data Entry'!B61="", "", 'After Exam Data Entry'!B61)</f>
        <v>1</v>
      </c>
      <c r="D61" s="35">
        <f>IF(C61="", "", IF('After Exam Data Entry'!C61="", 0, 'After Exam Data Entry'!C61))</f>
        <v>0</v>
      </c>
      <c r="E61" s="35" t="str">
        <f>IF('MCQ TEST SHEET'!G62="", "", 'MCQ TEST SHEET'!G62)</f>
        <v/>
      </c>
      <c r="F61" s="35" t="str">
        <f>IF('After Exam Data Entry'!D61="", "", 'After Exam Data Entry'!D61)</f>
        <v>C</v>
      </c>
      <c r="G61" s="36" t="str">
        <f t="shared" si="0"/>
        <v/>
      </c>
      <c r="H61" s="71"/>
      <c r="I61" s="69"/>
    </row>
    <row r="62" spans="1:9" ht="16.8" thickTop="1" thickBot="1">
      <c r="A62" s="69"/>
      <c r="B62" s="34">
        <v>57</v>
      </c>
      <c r="C62" s="35">
        <f>IF('After Exam Data Entry'!B62="", "", 'After Exam Data Entry'!B62)</f>
        <v>1</v>
      </c>
      <c r="D62" s="35">
        <f>IF(C62="", "", IF('After Exam Data Entry'!C62="", 0, 'After Exam Data Entry'!C62))</f>
        <v>0</v>
      </c>
      <c r="E62" s="35" t="str">
        <f>IF('MCQ TEST SHEET'!G63="", "", 'MCQ TEST SHEET'!G63)</f>
        <v/>
      </c>
      <c r="F62" s="35" t="str">
        <f>IF('After Exam Data Entry'!D62="", "", 'After Exam Data Entry'!D62)</f>
        <v>B</v>
      </c>
      <c r="G62" s="36" t="str">
        <f t="shared" si="0"/>
        <v/>
      </c>
      <c r="H62" s="71"/>
      <c r="I62" s="69"/>
    </row>
    <row r="63" spans="1:9" ht="16.8" thickTop="1" thickBot="1">
      <c r="A63" s="69"/>
      <c r="B63" s="34">
        <v>58</v>
      </c>
      <c r="C63" s="35">
        <f>IF('After Exam Data Entry'!B63="", "", 'After Exam Data Entry'!B63)</f>
        <v>1</v>
      </c>
      <c r="D63" s="35">
        <f>IF(C63="", "", IF('After Exam Data Entry'!C63="", 0, 'After Exam Data Entry'!C63))</f>
        <v>0</v>
      </c>
      <c r="E63" s="35" t="str">
        <f>IF('MCQ TEST SHEET'!G64="", "", 'MCQ TEST SHEET'!G64)</f>
        <v/>
      </c>
      <c r="F63" s="35" t="str">
        <f>IF('After Exam Data Entry'!D63="", "", 'After Exam Data Entry'!D63)</f>
        <v>D</v>
      </c>
      <c r="G63" s="36" t="str">
        <f t="shared" si="0"/>
        <v/>
      </c>
      <c r="H63" s="71"/>
      <c r="I63" s="69"/>
    </row>
    <row r="64" spans="1:9" ht="16.8" thickTop="1" thickBot="1">
      <c r="A64" s="69"/>
      <c r="B64" s="34">
        <v>59</v>
      </c>
      <c r="C64" s="35">
        <f>IF('After Exam Data Entry'!B64="", "", 'After Exam Data Entry'!B64)</f>
        <v>1</v>
      </c>
      <c r="D64" s="35">
        <f>IF(C64="", "", IF('After Exam Data Entry'!C64="", 0, 'After Exam Data Entry'!C64))</f>
        <v>0</v>
      </c>
      <c r="E64" s="35" t="str">
        <f>IF('MCQ TEST SHEET'!G65="", "", 'MCQ TEST SHEET'!G65)</f>
        <v/>
      </c>
      <c r="F64" s="35" t="str">
        <f>IF('After Exam Data Entry'!D64="", "", 'After Exam Data Entry'!D64)</f>
        <v>A</v>
      </c>
      <c r="G64" s="36" t="str">
        <f t="shared" si="0"/>
        <v/>
      </c>
      <c r="H64" s="71"/>
      <c r="I64" s="69"/>
    </row>
    <row r="65" spans="1:9" ht="16.8" thickTop="1" thickBot="1">
      <c r="A65" s="69"/>
      <c r="B65" s="34">
        <v>60</v>
      </c>
      <c r="C65" s="35">
        <f>IF('After Exam Data Entry'!B65="", "", 'After Exam Data Entry'!B65)</f>
        <v>1</v>
      </c>
      <c r="D65" s="35">
        <f>IF(C65="", "", IF('After Exam Data Entry'!C65="", 0, 'After Exam Data Entry'!C65))</f>
        <v>0</v>
      </c>
      <c r="E65" s="35" t="str">
        <f>IF('MCQ TEST SHEET'!G66="", "", 'MCQ TEST SHEET'!G66)</f>
        <v/>
      </c>
      <c r="F65" s="35" t="str">
        <f>IF('After Exam Data Entry'!D65="", "", 'After Exam Data Entry'!D65)</f>
        <v>B</v>
      </c>
      <c r="G65" s="36" t="str">
        <f t="shared" si="0"/>
        <v/>
      </c>
      <c r="H65" s="71"/>
      <c r="I65" s="69"/>
    </row>
    <row r="66" spans="1:9" ht="16.8" thickTop="1" thickBot="1">
      <c r="A66" s="69"/>
      <c r="B66" s="34">
        <v>61</v>
      </c>
      <c r="C66" s="35">
        <f>IF('After Exam Data Entry'!B66="", "", 'After Exam Data Entry'!B66)</f>
        <v>1</v>
      </c>
      <c r="D66" s="35">
        <f>IF(C66="", "", IF('After Exam Data Entry'!C66="", 0, 'After Exam Data Entry'!C66))</f>
        <v>0</v>
      </c>
      <c r="E66" s="35" t="str">
        <f>IF('MCQ TEST SHEET'!G67="", "", 'MCQ TEST SHEET'!G67)</f>
        <v/>
      </c>
      <c r="F66" s="35" t="str">
        <f>IF('After Exam Data Entry'!D66="", "", 'After Exam Data Entry'!D66)</f>
        <v>C</v>
      </c>
      <c r="G66" s="36" t="str">
        <f t="shared" si="0"/>
        <v/>
      </c>
      <c r="H66" s="71"/>
      <c r="I66" s="69"/>
    </row>
    <row r="67" spans="1:9" ht="16.8" thickTop="1" thickBot="1">
      <c r="A67" s="69"/>
      <c r="B67" s="34">
        <v>62</v>
      </c>
      <c r="C67" s="35">
        <f>IF('After Exam Data Entry'!B67="", "", 'After Exam Data Entry'!B67)</f>
        <v>1</v>
      </c>
      <c r="D67" s="35">
        <f>IF(C67="", "", IF('After Exam Data Entry'!C67="", 0, 'After Exam Data Entry'!C67))</f>
        <v>0</v>
      </c>
      <c r="E67" s="35" t="str">
        <f>IF('MCQ TEST SHEET'!G68="", "", 'MCQ TEST SHEET'!G68)</f>
        <v/>
      </c>
      <c r="F67" s="35" t="str">
        <f>IF('After Exam Data Entry'!D67="", "", 'After Exam Data Entry'!D67)</f>
        <v>D</v>
      </c>
      <c r="G67" s="36" t="str">
        <f t="shared" si="0"/>
        <v/>
      </c>
      <c r="H67" s="71"/>
      <c r="I67" s="69"/>
    </row>
    <row r="68" spans="1:9" ht="16.8" thickTop="1" thickBot="1">
      <c r="A68" s="69"/>
      <c r="B68" s="34">
        <v>63</v>
      </c>
      <c r="C68" s="35">
        <f>IF('After Exam Data Entry'!B68="", "", 'After Exam Data Entry'!B68)</f>
        <v>1</v>
      </c>
      <c r="D68" s="35">
        <f>IF(C68="", "", IF('After Exam Data Entry'!C68="", 0, 'After Exam Data Entry'!C68))</f>
        <v>0</v>
      </c>
      <c r="E68" s="35" t="str">
        <f>IF('MCQ TEST SHEET'!G69="", "", 'MCQ TEST SHEET'!G69)</f>
        <v/>
      </c>
      <c r="F68" s="35" t="str">
        <f>IF('After Exam Data Entry'!D68="", "", 'After Exam Data Entry'!D68)</f>
        <v>A</v>
      </c>
      <c r="G68" s="36" t="str">
        <f t="shared" si="0"/>
        <v/>
      </c>
      <c r="H68" s="71"/>
      <c r="I68" s="69"/>
    </row>
    <row r="69" spans="1:9" ht="16.8" thickTop="1" thickBot="1">
      <c r="A69" s="69"/>
      <c r="B69" s="34">
        <v>64</v>
      </c>
      <c r="C69" s="35">
        <f>IF('After Exam Data Entry'!B69="", "", 'After Exam Data Entry'!B69)</f>
        <v>1</v>
      </c>
      <c r="D69" s="35">
        <f>IF(C69="", "", IF('After Exam Data Entry'!C69="", 0, 'After Exam Data Entry'!C69))</f>
        <v>0</v>
      </c>
      <c r="E69" s="35" t="str">
        <f>IF('MCQ TEST SHEET'!G70="", "", 'MCQ TEST SHEET'!G70)</f>
        <v/>
      </c>
      <c r="F69" s="35" t="str">
        <f>IF('After Exam Data Entry'!D69="", "", 'After Exam Data Entry'!D69)</f>
        <v>B</v>
      </c>
      <c r="G69" s="36" t="str">
        <f t="shared" si="0"/>
        <v/>
      </c>
      <c r="H69" s="71"/>
      <c r="I69" s="69"/>
    </row>
    <row r="70" spans="1:9" ht="16.8" thickTop="1" thickBot="1">
      <c r="A70" s="69"/>
      <c r="B70" s="34">
        <v>65</v>
      </c>
      <c r="C70" s="35">
        <f>IF('After Exam Data Entry'!B70="", "", 'After Exam Data Entry'!B70)</f>
        <v>1</v>
      </c>
      <c r="D70" s="35">
        <f>IF(C70="", "", IF('After Exam Data Entry'!C70="", 0, 'After Exam Data Entry'!C70))</f>
        <v>0</v>
      </c>
      <c r="E70" s="35" t="str">
        <f>IF('MCQ TEST SHEET'!G71="", "", 'MCQ TEST SHEET'!G71)</f>
        <v/>
      </c>
      <c r="F70" s="35" t="str">
        <f>IF('After Exam Data Entry'!D70="", "", 'After Exam Data Entry'!D70)</f>
        <v>A</v>
      </c>
      <c r="G70" s="36" t="str">
        <f t="shared" si="0"/>
        <v/>
      </c>
      <c r="H70" s="71"/>
      <c r="I70" s="69"/>
    </row>
    <row r="71" spans="1:9" ht="16.8" thickTop="1" thickBot="1">
      <c r="A71" s="69"/>
      <c r="B71" s="34">
        <v>66</v>
      </c>
      <c r="C71" s="35">
        <f>IF('After Exam Data Entry'!B71="", "", 'After Exam Data Entry'!B71)</f>
        <v>1</v>
      </c>
      <c r="D71" s="35">
        <f>IF(C71="", "", IF('After Exam Data Entry'!C71="", 0, 'After Exam Data Entry'!C71))</f>
        <v>0</v>
      </c>
      <c r="E71" s="35" t="str">
        <f>IF('MCQ TEST SHEET'!G72="", "", 'MCQ TEST SHEET'!G72)</f>
        <v/>
      </c>
      <c r="F71" s="35" t="str">
        <f>IF('After Exam Data Entry'!D71="", "", 'After Exam Data Entry'!D71)</f>
        <v>A</v>
      </c>
      <c r="G71" s="36" t="str">
        <f t="shared" ref="G71:G80" si="1">IF(F71="", "", IF(E71="", "", IF(E71=F71, C71, D71)))</f>
        <v/>
      </c>
      <c r="H71" s="71"/>
      <c r="I71" s="69"/>
    </row>
    <row r="72" spans="1:9" ht="16.8" thickTop="1" thickBot="1">
      <c r="A72" s="69"/>
      <c r="B72" s="34">
        <v>67</v>
      </c>
      <c r="C72" s="35">
        <f>IF('After Exam Data Entry'!B72="", "", 'After Exam Data Entry'!B72)</f>
        <v>1</v>
      </c>
      <c r="D72" s="35">
        <f>IF(C72="", "", IF('After Exam Data Entry'!C72="", 0, 'After Exam Data Entry'!C72))</f>
        <v>0</v>
      </c>
      <c r="E72" s="35" t="str">
        <f>IF('MCQ TEST SHEET'!G73="", "", 'MCQ TEST SHEET'!G73)</f>
        <v/>
      </c>
      <c r="F72" s="35" t="str">
        <f>IF('After Exam Data Entry'!D72="", "", 'After Exam Data Entry'!D72)</f>
        <v>C</v>
      </c>
      <c r="G72" s="36" t="str">
        <f t="shared" si="1"/>
        <v/>
      </c>
      <c r="H72" s="71"/>
      <c r="I72" s="69"/>
    </row>
    <row r="73" spans="1:9" ht="16.8" thickTop="1" thickBot="1">
      <c r="A73" s="69"/>
      <c r="B73" s="34">
        <v>68</v>
      </c>
      <c r="C73" s="35">
        <f>IF('After Exam Data Entry'!B73="", "", 'After Exam Data Entry'!B73)</f>
        <v>1</v>
      </c>
      <c r="D73" s="35">
        <f>IF(C73="", "", IF('After Exam Data Entry'!C73="", 0, 'After Exam Data Entry'!C73))</f>
        <v>0</v>
      </c>
      <c r="E73" s="35" t="str">
        <f>IF('MCQ TEST SHEET'!G74="", "", 'MCQ TEST SHEET'!G74)</f>
        <v/>
      </c>
      <c r="F73" s="35" t="str">
        <f>IF('After Exam Data Entry'!D73="", "", 'After Exam Data Entry'!D73)</f>
        <v>B</v>
      </c>
      <c r="G73" s="36" t="str">
        <f t="shared" si="1"/>
        <v/>
      </c>
      <c r="H73" s="71"/>
      <c r="I73" s="69"/>
    </row>
    <row r="74" spans="1:9" ht="16.8" thickTop="1" thickBot="1">
      <c r="A74" s="69"/>
      <c r="B74" s="34">
        <v>69</v>
      </c>
      <c r="C74" s="35">
        <f>IF('After Exam Data Entry'!B74="", "", 'After Exam Data Entry'!B74)</f>
        <v>1</v>
      </c>
      <c r="D74" s="35">
        <f>IF(C74="", "", IF('After Exam Data Entry'!C74="", 0, 'After Exam Data Entry'!C74))</f>
        <v>0</v>
      </c>
      <c r="E74" s="35" t="str">
        <f>IF('MCQ TEST SHEET'!G75="", "", 'MCQ TEST SHEET'!G75)</f>
        <v/>
      </c>
      <c r="F74" s="35" t="str">
        <f>IF('After Exam Data Entry'!D74="", "", 'After Exam Data Entry'!D74)</f>
        <v>D</v>
      </c>
      <c r="G74" s="36" t="str">
        <f t="shared" si="1"/>
        <v/>
      </c>
      <c r="H74" s="71"/>
      <c r="I74" s="69"/>
    </row>
    <row r="75" spans="1:9" ht="16.8" thickTop="1" thickBot="1">
      <c r="A75" s="69"/>
      <c r="B75" s="34">
        <v>70</v>
      </c>
      <c r="C75" s="35">
        <f>IF('After Exam Data Entry'!B75="", "", 'After Exam Data Entry'!B75)</f>
        <v>1</v>
      </c>
      <c r="D75" s="35">
        <f>IF(C75="", "", IF('After Exam Data Entry'!C75="", 0, 'After Exam Data Entry'!C75))</f>
        <v>0</v>
      </c>
      <c r="E75" s="35" t="str">
        <f>IF('MCQ TEST SHEET'!G76="", "", 'MCQ TEST SHEET'!G76)</f>
        <v/>
      </c>
      <c r="F75" s="35" t="str">
        <f>IF('After Exam Data Entry'!D75="", "", 'After Exam Data Entry'!D75)</f>
        <v>C</v>
      </c>
      <c r="G75" s="36" t="str">
        <f t="shared" si="1"/>
        <v/>
      </c>
      <c r="H75" s="71"/>
      <c r="I75" s="69"/>
    </row>
    <row r="76" spans="1:9" ht="16.8" thickTop="1" thickBot="1">
      <c r="A76" s="69"/>
      <c r="B76" s="34">
        <v>71</v>
      </c>
      <c r="C76" s="35">
        <f>IF('After Exam Data Entry'!B76="", "", 'After Exam Data Entry'!B76)</f>
        <v>1</v>
      </c>
      <c r="D76" s="35">
        <f>IF(C76="", "", IF('After Exam Data Entry'!C76="", 0, 'After Exam Data Entry'!C76))</f>
        <v>0</v>
      </c>
      <c r="E76" s="35" t="str">
        <f>IF('MCQ TEST SHEET'!G77="", "", 'MCQ TEST SHEET'!G77)</f>
        <v/>
      </c>
      <c r="F76" s="35" t="str">
        <f>IF('After Exam Data Entry'!D76="", "", 'After Exam Data Entry'!D76)</f>
        <v>B</v>
      </c>
      <c r="G76" s="36" t="str">
        <f t="shared" si="1"/>
        <v/>
      </c>
      <c r="H76" s="71"/>
      <c r="I76" s="69"/>
    </row>
    <row r="77" spans="1:9" ht="16.8" thickTop="1" thickBot="1">
      <c r="A77" s="69"/>
      <c r="B77" s="34">
        <v>72</v>
      </c>
      <c r="C77" s="35">
        <f>IF('After Exam Data Entry'!B77="", "", 'After Exam Data Entry'!B77)</f>
        <v>1</v>
      </c>
      <c r="D77" s="35">
        <f>IF(C77="", "", IF('After Exam Data Entry'!C77="", 0, 'After Exam Data Entry'!C77))</f>
        <v>0</v>
      </c>
      <c r="E77" s="35" t="str">
        <f>IF('MCQ TEST SHEET'!G78="", "", 'MCQ TEST SHEET'!G78)</f>
        <v/>
      </c>
      <c r="F77" s="35" t="str">
        <f>IF('After Exam Data Entry'!D77="", "", 'After Exam Data Entry'!D77)</f>
        <v>A</v>
      </c>
      <c r="G77" s="36" t="str">
        <f t="shared" si="1"/>
        <v/>
      </c>
      <c r="H77" s="71"/>
      <c r="I77" s="69"/>
    </row>
    <row r="78" spans="1:9" ht="16.8" thickTop="1" thickBot="1">
      <c r="A78" s="69"/>
      <c r="B78" s="34">
        <v>73</v>
      </c>
      <c r="C78" s="35">
        <f>IF('After Exam Data Entry'!B78="", "", 'After Exam Data Entry'!B78)</f>
        <v>1</v>
      </c>
      <c r="D78" s="35">
        <f>IF(C78="", "", IF('After Exam Data Entry'!C78="", 0, 'After Exam Data Entry'!C78))</f>
        <v>0</v>
      </c>
      <c r="E78" s="35" t="str">
        <f>IF('MCQ TEST SHEET'!G79="", "", 'MCQ TEST SHEET'!G79)</f>
        <v/>
      </c>
      <c r="F78" s="35" t="str">
        <f>IF('After Exam Data Entry'!D78="", "", 'After Exam Data Entry'!D78)</f>
        <v>B</v>
      </c>
      <c r="G78" s="36" t="str">
        <f t="shared" si="1"/>
        <v/>
      </c>
      <c r="H78" s="71"/>
      <c r="I78" s="69"/>
    </row>
    <row r="79" spans="1:9" ht="16.8" thickTop="1" thickBot="1">
      <c r="A79" s="69"/>
      <c r="B79" s="34">
        <v>74</v>
      </c>
      <c r="C79" s="35">
        <f>IF('After Exam Data Entry'!B79="", "", 'After Exam Data Entry'!B79)</f>
        <v>1</v>
      </c>
      <c r="D79" s="35">
        <f>IF(C79="", "", IF('After Exam Data Entry'!C79="", 0, 'After Exam Data Entry'!C79))</f>
        <v>0</v>
      </c>
      <c r="E79" s="35" t="str">
        <f>IF('MCQ TEST SHEET'!G80="", "", 'MCQ TEST SHEET'!G80)</f>
        <v/>
      </c>
      <c r="F79" s="35" t="str">
        <f>IF('After Exam Data Entry'!D79="", "", 'After Exam Data Entry'!D79)</f>
        <v>A</v>
      </c>
      <c r="G79" s="36" t="str">
        <f t="shared" si="1"/>
        <v/>
      </c>
      <c r="H79" s="71"/>
      <c r="I79" s="69"/>
    </row>
    <row r="80" spans="1:9" ht="20.399999999999999" customHeight="1" thickTop="1" thickBot="1">
      <c r="A80" s="69"/>
      <c r="B80" s="34">
        <v>75</v>
      </c>
      <c r="C80" s="35">
        <f>IF('After Exam Data Entry'!B80="", "", 'After Exam Data Entry'!B80)</f>
        <v>1</v>
      </c>
      <c r="D80" s="35">
        <f>IF(C80="", "", IF('After Exam Data Entry'!C80="", 0, 'After Exam Data Entry'!C80))</f>
        <v>0</v>
      </c>
      <c r="E80" s="35" t="str">
        <f>IF('MCQ TEST SHEET'!G81="", "", 'MCQ TEST SHEET'!G81)</f>
        <v/>
      </c>
      <c r="F80" s="38" t="str">
        <f>IF('After Exam Data Entry'!D80="", "", 'After Exam Data Entry'!D80)</f>
        <v>A</v>
      </c>
      <c r="G80" s="36" t="str">
        <f t="shared" si="1"/>
        <v/>
      </c>
      <c r="H80" s="71"/>
      <c r="I80" s="69"/>
    </row>
    <row r="81" spans="1:10" ht="20.399999999999999" hidden="1" customHeight="1" thickTop="1" thickBot="1">
      <c r="A81" s="69"/>
      <c r="B81" s="38"/>
      <c r="C81" s="35"/>
      <c r="D81" s="78"/>
      <c r="E81" s="79"/>
      <c r="F81" s="80"/>
      <c r="G81" s="36"/>
      <c r="H81" s="71"/>
      <c r="I81" s="69"/>
    </row>
    <row r="82" spans="1:10" ht="16.8" thickTop="1" thickBot="1">
      <c r="A82" s="69"/>
      <c r="B82" s="39" t="s">
        <v>13</v>
      </c>
      <c r="C82" s="35">
        <f>SUM(C6:C81)</f>
        <v>75</v>
      </c>
      <c r="D82" s="39"/>
      <c r="E82" s="46" t="s">
        <v>11</v>
      </c>
      <c r="F82" s="47"/>
      <c r="G82" s="36">
        <f>SUM(G6:G81)</f>
        <v>0</v>
      </c>
      <c r="H82" s="71"/>
      <c r="I82" s="69"/>
    </row>
    <row r="83" spans="1:10" ht="15" customHeight="1" thickTop="1" thickBot="1">
      <c r="A83" s="69"/>
      <c r="B83" s="39" t="s">
        <v>15</v>
      </c>
      <c r="C83" s="39" t="str">
        <f>IF(G83&lt;33%, "Fail", "Pass")</f>
        <v>Fail</v>
      </c>
      <c r="D83" s="40"/>
      <c r="E83" s="48" t="s">
        <v>16</v>
      </c>
      <c r="F83" s="49"/>
      <c r="G83" s="81">
        <f>(G82/C82)</f>
        <v>0</v>
      </c>
      <c r="H83" s="71"/>
      <c r="I83" s="69"/>
      <c r="J83" s="41"/>
    </row>
    <row r="84" spans="1:10" ht="23.4" customHeight="1" thickTop="1" thickBot="1">
      <c r="A84" s="69"/>
      <c r="B84" s="72" t="s">
        <v>17</v>
      </c>
      <c r="C84" s="73"/>
      <c r="D84" s="43" t="str">
        <f>IFERROR(IF(C85="", "", IF(C85&lt;=32%, "Needs Improvement", IF(C85&lt;=50%, "P", IF(C85&lt;=55%, "C", IF(C85&lt;=60%, "B", IF(C85&lt;=70%, "B+", IF(C85&lt;=80%, "A", IF(C85&lt;=90%, "A+", "A++" )))))))), "")</f>
        <v>Needs Improvement</v>
      </c>
      <c r="E84" s="44"/>
      <c r="F84" s="44"/>
      <c r="G84" s="44"/>
      <c r="H84" s="71"/>
      <c r="I84" s="69"/>
    </row>
    <row r="85" spans="1:10" hidden="1">
      <c r="C85" s="42">
        <f>G82/C82</f>
        <v>0</v>
      </c>
    </row>
    <row r="86" spans="1:10" ht="15" thickTop="1"/>
  </sheetData>
  <sheetProtection algorithmName="SHA-512" hashValue="VUkK1ZyWpu62tvGisbwNHHEUQbO5MGyBj5v6GeB3Th0WtkbnmhLNXnKdhA6r1G1Ul1acB+8B1oxFbNHGXyomPA==" saltValue="w1ouFLVx42n6/7+VaOIjVA==" spinCount="100000" sheet="1" selectLockedCells="1" selectUnlockedCells="1"/>
  <mergeCells count="5">
    <mergeCell ref="H2:I2"/>
    <mergeCell ref="H3:I3"/>
    <mergeCell ref="A4:A84"/>
    <mergeCell ref="H4:I84"/>
    <mergeCell ref="B84:C84"/>
  </mergeCells>
  <conditionalFormatting sqref="E6:E81">
    <cfRule type="aboveAverage" dxfId="2" priority="111"/>
  </conditionalFormatting>
  <conditionalFormatting sqref="G6:G81">
    <cfRule type="cellIs" dxfId="1" priority="102" operator="lessThan">
      <formula>1</formula>
    </cfRule>
  </conditionalFormatting>
  <conditionalFormatting sqref="G82:G83">
    <cfRule type="cellIs" dxfId="0" priority="1" operator="lessThan">
      <formula>1</formula>
    </cfRule>
  </conditionalFormatting>
  <pageMargins left="0.70866141732283472" right="0.70866141732283472"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MCQ TEST SHEET</vt:lpstr>
      <vt:lpstr>After Exam Data Entry</vt:lpstr>
      <vt:lpstr>Marks Sheet</vt:lpstr>
      <vt:lpstr>Options</vt:lpstr>
      <vt:lpstr>'Marks Sheet'!Print_Area</vt:lpstr>
      <vt:lpstr>'MCQ TEST SHEET'!Print_Area</vt:lpstr>
      <vt:lpstr>'Marks 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dc:creator>
  <cp:lastModifiedBy>Lenovo</cp:lastModifiedBy>
  <cp:lastPrinted>2019-06-28T12:24:36Z</cp:lastPrinted>
  <dcterms:created xsi:type="dcterms:W3CDTF">2019-06-24T06:48:07Z</dcterms:created>
  <dcterms:modified xsi:type="dcterms:W3CDTF">2023-08-02T13:13:58Z</dcterms:modified>
</cp:coreProperties>
</file>
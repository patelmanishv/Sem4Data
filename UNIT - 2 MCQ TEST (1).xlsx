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\Downloads\"/>
    </mc:Choice>
  </mc:AlternateContent>
  <xr:revisionPtr revIDLastSave="0" documentId="13_ncr:1_{E9DD2DD1-7332-470E-9460-B6BE7A9AD15C}" xr6:coauthVersionLast="40" xr6:coauthVersionMax="47" xr10:uidLastSave="{00000000-0000-0000-0000-000000000000}"/>
  <workbookProtection workbookAlgorithmName="SHA-512" workbookHashValue="p5GbMKmoYx5n2jsCOQtEG8doY/rR6ws78EpoMZUcZE1MLwz7yyAQpI+0zyuadZGlWb5KqbSwyzG+ihjQYfD50w==" workbookSaltValue="+XRZQs4qtvk0EQOUhCWxkg==" workbookSpinCount="100000" lockStructure="1"/>
  <bookViews>
    <workbookView xWindow="0" yWindow="0" windowWidth="20490" windowHeight="7545" activeTab="2" xr2:uid="{00000000-000D-0000-FFFF-FFFF00000000}"/>
  </bookViews>
  <sheets>
    <sheet name="MCQ TEST SHEET" sheetId="1" r:id="rId1"/>
    <sheet name="After Exam Data Entry" sheetId="3" state="hidden" r:id="rId2"/>
    <sheet name="Marks Sheet" sheetId="2" r:id="rId3"/>
  </sheets>
  <definedNames>
    <definedName name="Options">'Marks Sheet'!$M$6:$M$9</definedName>
    <definedName name="_xlnm.Print_Area" localSheetId="2">'Marks Sheet'!$A$2:$I$126</definedName>
    <definedName name="_xlnm.Print_Area" localSheetId="0">'MCQ TEST SHEET'!$A$1:$G$43</definedName>
    <definedName name="_xlnm.Print_Titles" localSheetId="2">'Marks Sheet'!$5:$5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2" l="1"/>
  <c r="G29" i="2" s="1"/>
  <c r="F29" i="2"/>
  <c r="E30" i="2"/>
  <c r="F30" i="2"/>
  <c r="E31" i="2"/>
  <c r="F31" i="2"/>
  <c r="E32" i="2"/>
  <c r="G32" i="2" s="1"/>
  <c r="F32" i="2"/>
  <c r="E33" i="2"/>
  <c r="G33" i="2" s="1"/>
  <c r="F33" i="2"/>
  <c r="E34" i="2"/>
  <c r="F34" i="2"/>
  <c r="E35" i="2"/>
  <c r="F35" i="2"/>
  <c r="E36" i="2"/>
  <c r="G36" i="2" s="1"/>
  <c r="F36" i="2"/>
  <c r="E37" i="2"/>
  <c r="G37" i="2" s="1"/>
  <c r="F37" i="2"/>
  <c r="E38" i="2"/>
  <c r="F38" i="2"/>
  <c r="E39" i="2"/>
  <c r="F39" i="2"/>
  <c r="E40" i="2"/>
  <c r="G40" i="2" s="1"/>
  <c r="F40" i="2"/>
  <c r="E41" i="2"/>
  <c r="G41" i="2" s="1"/>
  <c r="F41" i="2"/>
  <c r="E42" i="2"/>
  <c r="F42" i="2"/>
  <c r="E43" i="2"/>
  <c r="F43" i="2"/>
  <c r="E44" i="2"/>
  <c r="G44" i="2" s="1"/>
  <c r="F44" i="2"/>
  <c r="E45" i="2"/>
  <c r="G45" i="2" s="1"/>
  <c r="F45" i="2"/>
  <c r="E46" i="2"/>
  <c r="F46" i="2"/>
  <c r="E47" i="2"/>
  <c r="F47" i="2"/>
  <c r="E48" i="2"/>
  <c r="G48" i="2" s="1"/>
  <c r="F48" i="2"/>
  <c r="E49" i="2"/>
  <c r="G49" i="2" s="1"/>
  <c r="F49" i="2"/>
  <c r="E50" i="2"/>
  <c r="F50" i="2"/>
  <c r="E51" i="2"/>
  <c r="F51" i="2"/>
  <c r="E52" i="2"/>
  <c r="G52" i="2" s="1"/>
  <c r="F52" i="2"/>
  <c r="E53" i="2"/>
  <c r="G53" i="2" s="1"/>
  <c r="F53" i="2"/>
  <c r="E54" i="2"/>
  <c r="F54" i="2"/>
  <c r="E55" i="2"/>
  <c r="F55" i="2"/>
  <c r="E56" i="2"/>
  <c r="G56" i="2" s="1"/>
  <c r="F56" i="2"/>
  <c r="G57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C31" i="2"/>
  <c r="C32" i="2"/>
  <c r="C33" i="2"/>
  <c r="C34" i="2"/>
  <c r="C35" i="2"/>
  <c r="C36" i="2"/>
  <c r="C37" i="2"/>
  <c r="C38" i="2"/>
  <c r="C124" i="2" s="1"/>
  <c r="C39" i="2"/>
  <c r="C40" i="2"/>
  <c r="C41" i="2"/>
  <c r="C42" i="2"/>
  <c r="C56" i="2"/>
  <c r="D56" i="2" s="1"/>
  <c r="C55" i="2"/>
  <c r="D55" i="2" s="1"/>
  <c r="C54" i="2"/>
  <c r="C52" i="2"/>
  <c r="D52" i="2" s="1"/>
  <c r="C53" i="2"/>
  <c r="D53" i="2" s="1"/>
  <c r="D54" i="2"/>
  <c r="C57" i="2"/>
  <c r="D57" i="2" s="1"/>
  <c r="E57" i="2"/>
  <c r="F57" i="2"/>
  <c r="C51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E10" i="2"/>
  <c r="G10" i="2" s="1"/>
  <c r="C11" i="2"/>
  <c r="E8" i="2"/>
  <c r="G8" i="2" s="1"/>
  <c r="G31" i="2" l="1"/>
  <c r="G47" i="2"/>
  <c r="G42" i="2"/>
  <c r="G55" i="2"/>
  <c r="G50" i="2"/>
  <c r="G39" i="2"/>
  <c r="G34" i="2"/>
  <c r="G54" i="2"/>
  <c r="G51" i="2"/>
  <c r="G46" i="2"/>
  <c r="G43" i="2"/>
  <c r="G38" i="2"/>
  <c r="G35" i="2"/>
  <c r="G30" i="2"/>
  <c r="C26" i="2"/>
  <c r="C27" i="2"/>
  <c r="C28" i="2"/>
  <c r="C29" i="2"/>
  <c r="C30" i="2"/>
  <c r="C43" i="2"/>
  <c r="C44" i="2"/>
  <c r="C45" i="2"/>
  <c r="C46" i="2"/>
  <c r="C47" i="2"/>
  <c r="D47" i="2" s="1"/>
  <c r="C48" i="2"/>
  <c r="D48" i="2" s="1"/>
  <c r="C49" i="2"/>
  <c r="D49" i="2" s="1"/>
  <c r="C50" i="2"/>
  <c r="D50" i="2" s="1"/>
  <c r="D58" i="2"/>
  <c r="D59" i="2"/>
  <c r="D62" i="2"/>
  <c r="D63" i="2"/>
  <c r="D65" i="2"/>
  <c r="D66" i="2"/>
  <c r="D67" i="2"/>
  <c r="D70" i="2"/>
  <c r="D71" i="2"/>
  <c r="D73" i="2"/>
  <c r="D74" i="2"/>
  <c r="D75" i="2"/>
  <c r="D78" i="2"/>
  <c r="D79" i="2"/>
  <c r="D81" i="2"/>
  <c r="D82" i="2"/>
  <c r="D83" i="2"/>
  <c r="D86" i="2"/>
  <c r="D87" i="2"/>
  <c r="D90" i="2"/>
  <c r="D91" i="2"/>
  <c r="D94" i="2"/>
  <c r="D95" i="2"/>
  <c r="D97" i="2"/>
  <c r="D98" i="2"/>
  <c r="D99" i="2"/>
  <c r="D101" i="2"/>
  <c r="D102" i="2"/>
  <c r="D103" i="2"/>
  <c r="D106" i="2"/>
  <c r="D107" i="2"/>
  <c r="D109" i="2"/>
  <c r="D110" i="2"/>
  <c r="D111" i="2"/>
  <c r="D113" i="2"/>
  <c r="D114" i="2"/>
  <c r="D115" i="2"/>
  <c r="D118" i="2"/>
  <c r="D119" i="2"/>
  <c r="D51" i="2"/>
  <c r="D60" i="2"/>
  <c r="D61" i="2"/>
  <c r="D64" i="2"/>
  <c r="D68" i="2"/>
  <c r="D69" i="2"/>
  <c r="D72" i="2"/>
  <c r="D76" i="2"/>
  <c r="D77" i="2"/>
  <c r="D80" i="2"/>
  <c r="D84" i="2"/>
  <c r="D85" i="2"/>
  <c r="D88" i="2"/>
  <c r="D89" i="2"/>
  <c r="D92" i="2"/>
  <c r="D93" i="2"/>
  <c r="D96" i="2"/>
  <c r="D100" i="2"/>
  <c r="D104" i="2"/>
  <c r="D105" i="2"/>
  <c r="D108" i="2"/>
  <c r="D112" i="2"/>
  <c r="D116" i="2"/>
  <c r="D117" i="2"/>
  <c r="D120" i="2"/>
  <c r="D121" i="2"/>
  <c r="E7" i="2"/>
  <c r="G7" i="2" s="1"/>
  <c r="E9" i="2"/>
  <c r="G9" i="2" s="1"/>
  <c r="E11" i="2"/>
  <c r="G11" i="2" s="1"/>
  <c r="E12" i="2"/>
  <c r="G12" i="2" s="1"/>
  <c r="E13" i="2"/>
  <c r="G13" i="2" s="1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G20" i="2" s="1"/>
  <c r="E21" i="2"/>
  <c r="G21" i="2" s="1"/>
  <c r="E22" i="2"/>
  <c r="G22" i="2" s="1"/>
  <c r="E23" i="2"/>
  <c r="G23" i="2" s="1"/>
  <c r="E24" i="2"/>
  <c r="G24" i="2" s="1"/>
  <c r="E25" i="2"/>
  <c r="G25" i="2" s="1"/>
  <c r="E26" i="2"/>
  <c r="G26" i="2" s="1"/>
  <c r="E27" i="2"/>
  <c r="G27" i="2" s="1"/>
  <c r="E28" i="2"/>
  <c r="G28" i="2" s="1"/>
  <c r="E58" i="2"/>
  <c r="G58" i="2" s="1"/>
  <c r="E59" i="2"/>
  <c r="G59" i="2" s="1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F26" i="2"/>
  <c r="F27" i="2"/>
  <c r="F28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C7" i="2" l="1"/>
  <c r="D7" i="2" s="1"/>
  <c r="C8" i="2"/>
  <c r="D8" i="2" s="1"/>
  <c r="C9" i="2"/>
  <c r="D9" i="2" s="1"/>
  <c r="C10" i="2"/>
  <c r="D10" i="2" s="1"/>
  <c r="D11" i="2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6" i="2"/>
  <c r="D6" i="2" s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6" i="2"/>
  <c r="D3" i="2" l="1"/>
  <c r="E6" i="2"/>
  <c r="G6" i="2" s="1"/>
  <c r="G124" i="2" l="1"/>
  <c r="G125" i="2" s="1"/>
  <c r="C127" i="2" l="1"/>
  <c r="D126" i="2" s="1"/>
  <c r="C12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Tabinda</author>
  </authors>
  <commentList>
    <comment ref="C6" authorId="0" shapeId="0" xr:uid="{00000000-0006-0000-0100-000001000000}">
      <text>
        <r>
          <rPr>
            <b/>
            <sz val="12"/>
            <color indexed="81"/>
            <rFont val="Tahoma"/>
            <family val="2"/>
          </rPr>
          <t>Leave it blank in case test is without negative marking system.</t>
        </r>
      </text>
    </comment>
  </commentList>
</comments>
</file>

<file path=xl/sharedStrings.xml><?xml version="1.0" encoding="utf-8"?>
<sst xmlns="http://schemas.openxmlformats.org/spreadsheetml/2006/main" count="348" uniqueCount="270">
  <si>
    <t>A</t>
  </si>
  <si>
    <t>B</t>
  </si>
  <si>
    <t>C</t>
  </si>
  <si>
    <t>D</t>
  </si>
  <si>
    <t>Question Number</t>
  </si>
  <si>
    <t>Answer by student</t>
  </si>
  <si>
    <t>Correct Answer</t>
  </si>
  <si>
    <t>Class</t>
  </si>
  <si>
    <t>Div</t>
  </si>
  <si>
    <t>Sub</t>
  </si>
  <si>
    <t>Exam</t>
  </si>
  <si>
    <t>Marks Obtained</t>
  </si>
  <si>
    <t>Marks assigned to this question</t>
  </si>
  <si>
    <t>TOTAL</t>
  </si>
  <si>
    <t>T. Marks</t>
  </si>
  <si>
    <t>Result</t>
  </si>
  <si>
    <t>% Obtained</t>
  </si>
  <si>
    <t>Grade Obtained</t>
  </si>
  <si>
    <t>Negative Marking</t>
  </si>
  <si>
    <t>Marks assigned to the question</t>
  </si>
  <si>
    <t>MCQ Test Mark Sheet</t>
  </si>
  <si>
    <t>Q. No.</t>
  </si>
  <si>
    <t>Enter all relevant data here only after you finish the examination.</t>
  </si>
  <si>
    <t>www.ExcelDataPro.com</t>
  </si>
  <si>
    <t>MCQ Test Sheet</t>
  </si>
  <si>
    <t>QUIZ</t>
  </si>
  <si>
    <t>Sr</t>
  </si>
  <si>
    <t>QUESTIONS</t>
  </si>
  <si>
    <t>Your Answer</t>
  </si>
  <si>
    <t>UNIT</t>
  </si>
  <si>
    <t>YEAR</t>
  </si>
  <si>
    <t>Which of the following commands is used to create an area plot in Matplotlib?</t>
  </si>
  <si>
    <t>Which of the following statements is true about an area plot?</t>
  </si>
  <si>
    <t>Which of the following is not a visualization under matplotlib?</t>
  </si>
  <si>
    <t>Which python package is used for data visualization?</t>
  </si>
  <si>
    <t>Which of the following commands is used to show a Matplotlib plot in a Jupyter notebook?</t>
  </si>
  <si>
    <t>Plot which is used to give statistical summary is</t>
  </si>
  <si>
    <t>Which of the following chart element is used to identify data series by its color patterns?</t>
  </si>
  <si>
    <t>Which of the following is incorrect regarding Data Visualization?</t>
  </si>
  <si>
    <t>Which statement is not true about scatter chart?</t>
  </si>
  <si>
    <t>Which of the following is best suitable chart to show data correlation?</t>
  </si>
  <si>
    <t>Whf the following parameters is used to specify the transparency of an area plot in Matplotlib?</t>
  </si>
  <si>
    <t>Which of the function in matplotlib is used to draw a special attention to the points of interest on a chart?</t>
  </si>
  <si>
    <t>Which of the following commands is used to create a stacked area plot in Matplotlib?</t>
  </si>
  <si>
    <t>What type of data is best suited for box plots?</t>
  </si>
  <si>
    <t>What is the name of the line that divides the box in a box plot?</t>
  </si>
  <si>
    <t>Which of the following is not included in a box plot?</t>
  </si>
  <si>
    <t>In a box plot, the bottom line of the box represents which quartile?</t>
  </si>
  <si>
    <t>In a box plot, the top line of the box represents which quartile?</t>
  </si>
  <si>
    <t>Which of the following statements about outliers in a box plot is true?</t>
  </si>
  <si>
    <t>What do the whiskers in a box plot represent?</t>
  </si>
  <si>
    <t>Which of the following statements about box plots is true?</t>
  </si>
  <si>
    <t>Which of the following statements about the interquartile range (IQR) is true?</t>
  </si>
  <si>
    <t>What is a waffle chart in Python?</t>
  </si>
  <si>
    <t>In a waffle chart, what does each square (or "waffle") typically represent?</t>
  </si>
  <si>
    <t>In a waffle chart, what is the recommended maximum number of squares (or "waffles") to use?</t>
  </si>
  <si>
    <t>Which of the statement is true for Word Clouds?</t>
  </si>
  <si>
    <t>Which of the following types of data is best suited for creating a word cloud?</t>
  </si>
  <si>
    <t>Which of the following parameters in the WordCloud() function is used to set the maximum number of words in the cloud?</t>
  </si>
  <si>
    <t>Which of the following methods in the WordCloud() function is used to generate the word cloud image?</t>
  </si>
  <si>
    <t>What does STOPWORDS contain in wordcloud?</t>
  </si>
  <si>
    <t>What is the purpose of removing stopwords from a text before generating a word cloud?</t>
  </si>
  <si>
    <t>Which Python library is commonly used to create regression plots?</t>
  </si>
  <si>
    <t>Which type of regression plot is used to visualize the relationship between two continuous variables?</t>
  </si>
  <si>
    <t>What is the purpose of the scatter_kws parameter in the sns.regplot() function?</t>
  </si>
  <si>
    <t>What is a heatmap used for?</t>
  </si>
  <si>
    <t>Which parameter in the sns.heatmap() function is used to show numerical values in heatmap?</t>
  </si>
  <si>
    <t>Which parameter is used to specify the colormap for the heatmap?</t>
  </si>
  <si>
    <t>What is the purpose of the cbar parameter in the sns.heatmap() function?</t>
  </si>
  <si>
    <t>Which of the following statements is true about Folium?</t>
  </si>
  <si>
    <t>Which of the following methods is used to create a map in Folium?</t>
  </si>
  <si>
    <t>Which of the following methods is used to add a marker to a map in Folium?</t>
  </si>
  <si>
    <t>Which of the following statements is true about the CircleMarker class in Folium?</t>
  </si>
  <si>
    <t>What tile style of Folium maps is usefule for data mashups and exploring river meanders and coastal zones?</t>
  </si>
  <si>
    <t>Which of the following statements is true about the Choropleth class in Folium?</t>
  </si>
  <si>
    <t>Which of the following methods is used to add a Choropleth to a map in Folium?</t>
  </si>
  <si>
    <t>Which of the following methods is used to create a Choropleth map in Folium?</t>
  </si>
  <si>
    <t>Which of the following types of graphs is not supported by NetworkX?</t>
  </si>
  <si>
    <t>What is a node in a networkX graph?</t>
  </si>
  <si>
    <t>Which of the following methods is used to create an empty graph in NetworkX?</t>
  </si>
  <si>
    <t>Which of the following methods is used to add nodes to a graph in NetworkX?</t>
  </si>
  <si>
    <t>Which of the following methods is used to visualize a graph in NetworkX?</t>
  </si>
  <si>
    <t>plt.scatter()</t>
  </si>
  <si>
    <t>plt.area()</t>
  </si>
  <si>
    <t>plt.fill_between()</t>
  </si>
  <si>
    <t>plt.plot()</t>
  </si>
  <si>
    <t>It is used to show the trend of a continuous variable over time.</t>
  </si>
  <si>
    <t>It is used to compare the distribution of two or more variables.</t>
  </si>
  <si>
    <t>It is used to display the relationship between two or more categorical variables.</t>
  </si>
  <si>
    <t>It is used to visualize the distribution of a single variable.</t>
  </si>
  <si>
    <t>Scatter Plot</t>
  </si>
  <si>
    <t>Area Plot</t>
  </si>
  <si>
    <t>Box Plot</t>
  </si>
  <si>
    <t>Table Plot</t>
  </si>
  <si>
    <t>matplotlib.pyplot</t>
  </si>
  <si>
    <t>matplotlib.pip</t>
  </si>
  <si>
    <t>matplotlib.numpy</t>
  </si>
  <si>
    <t>matplotlib.plt</t>
  </si>
  <si>
    <t>plt.display()</t>
  </si>
  <si>
    <t>plt.show()</t>
  </si>
  <si>
    <t>plt.draw()</t>
  </si>
  <si>
    <t>Box Plots</t>
  </si>
  <si>
    <t>Bar Plot</t>
  </si>
  <si>
    <t>Data Series</t>
  </si>
  <si>
    <t>Legend</t>
  </si>
  <si>
    <t>Title</t>
  </si>
  <si>
    <t>Markers</t>
  </si>
  <si>
    <t>Data visualization can be done using Matplotlib library in python</t>
  </si>
  <si>
    <t>Visualizing large and complex data does not produce effective results</t>
  </si>
  <si>
    <t>Data visualization is immensely useful in data analysis</t>
  </si>
  <si>
    <t>Decision makers use data visualization to understand business problems easily and build strategies</t>
  </si>
  <si>
    <t>Also known as correlation chart</t>
  </si>
  <si>
    <t>It is primarily used to represent relation between two sets of data</t>
  </si>
  <si>
    <t>The closer the dots to line, the weaker the relation will be</t>
  </si>
  <si>
    <t>It uses dots to represent data points</t>
  </si>
  <si>
    <t>Histogram</t>
  </si>
  <si>
    <t>Bar</t>
  </si>
  <si>
    <t>Pie</t>
  </si>
  <si>
    <t>Scatter</t>
  </si>
  <si>
    <t>alpha</t>
  </si>
  <si>
    <t>linewidth</t>
  </si>
  <si>
    <t>color</t>
  </si>
  <si>
    <t>label</t>
  </si>
  <si>
    <t>plt.annotate()</t>
  </si>
  <si>
    <t>plt.label()</t>
  </si>
  <si>
    <t>plt.title()</t>
  </si>
  <si>
    <t>plt.tag()</t>
  </si>
  <si>
    <t>plt.stackplot()</t>
  </si>
  <si>
    <t>Categorical data</t>
  </si>
  <si>
    <t>Binary data</t>
  </si>
  <si>
    <t>Continuous numerical data</t>
  </si>
  <si>
    <t>Time-series data</t>
  </si>
  <si>
    <t>Median</t>
  </si>
  <si>
    <t>Mean</t>
  </si>
  <si>
    <t>Mode</t>
  </si>
  <si>
    <t>Standard deviation</t>
  </si>
  <si>
    <t>Interquartile range</t>
  </si>
  <si>
    <t>Whiskers</t>
  </si>
  <si>
    <t>First quartile</t>
  </si>
  <si>
    <t>Second quartile</t>
  </si>
  <si>
    <t>Third quartile</t>
  </si>
  <si>
    <t>Fourth quartile</t>
  </si>
  <si>
    <t>Outliers are always errors and should be removed from the data.</t>
  </si>
  <si>
    <t>Outliers are values that fall outside the interquartile range and can indicate extreme values or errors.</t>
  </si>
  <si>
    <t>Outliers are always part of the data and should always be included in the analysis</t>
  </si>
  <si>
    <t>Outliers are only found in categorical data.</t>
  </si>
  <si>
    <t>The minimum and maximum values in the data</t>
  </si>
  <si>
    <t>The range of the data</t>
  </si>
  <si>
    <t>The interquartile range of the data</t>
  </si>
  <si>
    <t>The standard deviation of the data</t>
  </si>
  <si>
    <t>Box plots can only be used for numerical data.</t>
  </si>
  <si>
    <t>Box plots show the distribution of the data, including outliers.</t>
  </si>
  <si>
    <t>Box plots can only be used for data with a normal distribution.</t>
  </si>
  <si>
    <t>Box plots are not useful for comparing the distribution of multiple datasets.</t>
  </si>
  <si>
    <t>The IQR is calculated by subtracting the minimum value from the maximum value.</t>
  </si>
  <si>
    <t>The IQR is calculated by dividing the range by the sample size.</t>
  </si>
  <si>
    <t>The IQR is a measure of the spread of the middle 50% of the data.</t>
  </si>
  <si>
    <t>The IQR is a measure of the average distance between each data point and the mean.</t>
  </si>
  <si>
    <t>A type of pie chart</t>
  </si>
  <si>
    <t>A type of stacked bar chart</t>
  </si>
  <si>
    <t>A type of heatmap</t>
  </si>
  <si>
    <t>A type of visualization that displays progress towards a goal</t>
  </si>
  <si>
    <t>A percentage of the total</t>
  </si>
  <si>
    <t>A count of some variable</t>
  </si>
  <si>
    <t>A categorical label</t>
  </si>
  <si>
    <t>None of the above</t>
  </si>
  <si>
    <t>There is no recommended maximum, it depends on the data and context.</t>
  </si>
  <si>
    <t>A graphical representation of the most frequently occurring words in a text corpus</t>
  </si>
  <si>
    <t>A cloud computing service for analyzing text data</t>
  </si>
  <si>
    <t>A machine learning algorithm for text classification</t>
  </si>
  <si>
    <t>A programming language for natural language processing</t>
  </si>
  <si>
    <t>Numerical data</t>
  </si>
  <si>
    <t>Text data</t>
  </si>
  <si>
    <t>Image data</t>
  </si>
  <si>
    <t>max_words</t>
  </si>
  <si>
    <t>words</t>
  </si>
  <si>
    <t>max</t>
  </si>
  <si>
    <t>word_size</t>
  </si>
  <si>
    <t>generate()</t>
  </si>
  <si>
    <t>fit()</t>
  </si>
  <si>
    <t>transform()</t>
  </si>
  <si>
    <t>predict()</t>
  </si>
  <si>
    <t>Words that are used very frequently in a language and have little meaning, such as "the", "is", and "and"</t>
  </si>
  <si>
    <t>Words that are used very rarely in a language and have little meaning, such as "zephyr", "ebullient", and "myriad"</t>
  </si>
  <si>
    <t>Words that are used in a specific domain, such as "computer", "internet", and "programming"</t>
  </si>
  <si>
    <t>Words that are used in formal contexts, such as "therefore", "moreover", and "thus"</t>
  </si>
  <si>
    <t>To improve the readability of the word cloud</t>
  </si>
  <si>
    <t>To reduce the number of words in the word cloud</t>
  </si>
  <si>
    <t>To remove words that have little meaning and contribute to noise in the visualization</t>
  </si>
  <si>
    <t>To highlight the most important words in the word cloud</t>
  </si>
  <si>
    <t>Pandas</t>
  </si>
  <si>
    <t>Seaborn</t>
  </si>
  <si>
    <t>Matplotlib</t>
  </si>
  <si>
    <t>NumPy</t>
  </si>
  <si>
    <t>lmplot</t>
  </si>
  <si>
    <t>regplot</t>
  </si>
  <si>
    <t>residplot</t>
  </si>
  <si>
    <t>jointplot</t>
  </si>
  <si>
    <t>To specify the size of the data points</t>
  </si>
  <si>
    <t>To adjust the transparency of the data points</t>
  </si>
  <si>
    <t>To specify the color of the data points</t>
  </si>
  <si>
    <t>To specify additional keyword arguments for the scatter plot</t>
  </si>
  <si>
    <t>To visualize categorical data</t>
  </si>
  <si>
    <t>To visualize numerical data in a grid-like format</t>
  </si>
  <si>
    <t>To fit a regression line to the data</t>
  </si>
  <si>
    <t>To perform clustering on the data</t>
  </si>
  <si>
    <t>annot</t>
  </si>
  <si>
    <t>annotate</t>
  </si>
  <si>
    <t>percent</t>
  </si>
  <si>
    <t>show</t>
  </si>
  <si>
    <t>colormap</t>
  </si>
  <si>
    <t>palette</t>
  </si>
  <si>
    <t>cmap</t>
  </si>
  <si>
    <t>To adjust the transparency of the colorbar</t>
  </si>
  <si>
    <t>To adjust the size of the colorbar</t>
  </si>
  <si>
    <t>To add a colorbar to the heatmap</t>
  </si>
  <si>
    <t>To adjust the color scale of the heatmap</t>
  </si>
  <si>
    <t>It can be used to create static maps</t>
  </si>
  <si>
    <t>It can be used to create interactive maps</t>
  </si>
  <si>
    <t>It can only be used to create maps with markers</t>
  </si>
  <si>
    <t>It can only be used to create maps with polygons</t>
  </si>
  <si>
    <t>folium.create_map()</t>
  </si>
  <si>
    <t>folium.Map()</t>
  </si>
  <si>
    <t>folium.make_map()</t>
  </si>
  <si>
    <t>folium.new_map()</t>
  </si>
  <si>
    <t>add_marker()</t>
  </si>
  <si>
    <t>add_point()</t>
  </si>
  <si>
    <t>add_location()</t>
  </si>
  <si>
    <t>add_child()</t>
  </si>
  <si>
    <t>It is used to create a circle markers on a map</t>
  </si>
  <si>
    <t>It is used to create a polygon markers on a map</t>
  </si>
  <si>
    <t>It is used to add a single marker to a map</t>
  </si>
  <si>
    <t>It is not a valid class in Folium</t>
  </si>
  <si>
    <t>OpenStreetMap</t>
  </si>
  <si>
    <t>Stamen Toner</t>
  </si>
  <si>
    <t>Stamen Terrain</t>
  </si>
  <si>
    <t>River and Coastal</t>
  </si>
  <si>
    <t>It is used to create a heatmap</t>
  </si>
  <si>
    <t>It is used to create a choropleth map</t>
  </si>
  <si>
    <t>It is used to group markers together</t>
  </si>
  <si>
    <t>map.add_choropleth()</t>
  </si>
  <si>
    <t>Choropleth.add_to(map)</t>
  </si>
  <si>
    <t>map.add_layer()</t>
  </si>
  <si>
    <t>Choropleth.add_marker()</t>
  </si>
  <si>
    <t>folium.Choropleth()</t>
  </si>
  <si>
    <t>folium.Marker()</t>
  </si>
  <si>
    <t>folium.Circle()</t>
  </si>
  <si>
    <t>Directed graphs</t>
  </si>
  <si>
    <t>Undirected graphs</t>
  </si>
  <si>
    <t>Hypergraphs</t>
  </si>
  <si>
    <t>A connection between two edges</t>
  </si>
  <si>
    <t>A point or vertex in a graph</t>
  </si>
  <si>
    <t>A measure of the strength of a connection between two nodes</t>
  </si>
  <si>
    <t>A way to measure the centrality of a node</t>
  </si>
  <si>
    <t>empty_graph()</t>
  </si>
  <si>
    <t>create_graph()</t>
  </si>
  <si>
    <t>Graph()</t>
  </si>
  <si>
    <t>empty()</t>
  </si>
  <si>
    <t>graph.add_node()</t>
  </si>
  <si>
    <t>graph.add_nodes()</t>
  </si>
  <si>
    <t>graph.nodes()</t>
  </si>
  <si>
    <t>graph.node()</t>
  </si>
  <si>
    <t>nx.draw()</t>
  </si>
  <si>
    <t>graph.visualize()</t>
  </si>
  <si>
    <t>graph.draw()</t>
  </si>
  <si>
    <t>nx.plot()</t>
  </si>
  <si>
    <t>A5/A9</t>
  </si>
  <si>
    <t>SEM IV</t>
  </si>
  <si>
    <t>PYTHON-2</t>
  </si>
  <si>
    <r>
      <t xml:space="preserve">PYTHON UNIT - 2 MCQ TEST
Prepared by - </t>
    </r>
    <r>
      <rPr>
        <b/>
        <sz val="48"/>
        <color rgb="FFFFFF00"/>
        <rFont val="Lucida Calligraphy"/>
        <family val="4"/>
      </rPr>
      <t>Prof. Manish Patel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</si>
</sst>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2"/>
      <color theme="1"/>
      <name val="Andalus"/>
      <family val="1"/>
    </font>
    <font>
      <u/>
      <sz val="11"/>
      <color theme="10"/>
      <name val="Calibri"/>
      <family val="2"/>
    </font>
    <font>
      <b/>
      <sz val="12"/>
      <color theme="0"/>
      <name val="Andalus"/>
      <family val="1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Andalus"/>
      <family val="1"/>
    </font>
    <font>
      <b/>
      <u/>
      <sz val="22"/>
      <color rgb="FFFF0000"/>
      <name val="Andalus"/>
      <family val="1"/>
    </font>
    <font>
      <b/>
      <sz val="12"/>
      <color indexed="81"/>
      <name val="Tahoma"/>
      <family val="2"/>
    </font>
    <font>
      <b/>
      <sz val="25"/>
      <color theme="0"/>
      <name val="Lucida Calligraphy"/>
      <family val="4"/>
    </font>
    <font>
      <b/>
      <u/>
      <sz val="30"/>
      <color rgb="FFFFFF00"/>
      <name val="Lucida Calligraphy"/>
      <family val="4"/>
    </font>
    <font>
      <b/>
      <sz val="30"/>
      <color rgb="FFFFFF00"/>
      <name val="Lucida Calligraphy"/>
      <family val="4"/>
    </font>
    <font>
      <sz val="1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8"/>
      <color theme="1"/>
      <name val="Andalus"/>
      <family val="1"/>
    </font>
    <font>
      <sz val="22"/>
      <color theme="1"/>
      <name val="Andalus"/>
      <family val="1"/>
    </font>
    <font>
      <sz val="28"/>
      <color theme="1"/>
      <name val="Andalus"/>
      <family val="1"/>
    </font>
    <font>
      <b/>
      <sz val="28"/>
      <color theme="1"/>
      <name val="Andalus"/>
      <family val="1"/>
    </font>
    <font>
      <b/>
      <sz val="48"/>
      <color theme="0"/>
      <name val="Lucida Calligraphy"/>
      <family val="4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sz val="48"/>
      <color rgb="FFFFFF00"/>
      <name val="Lucida Calligraphy"/>
      <family val="4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0" xfId="0" applyAlignment="1"/>
    <xf numFmtId="0" fontId="12" fillId="4" borderId="9" xfId="0" applyFont="1" applyFill="1" applyBorder="1" applyAlignment="1">
      <alignment horizontal="center" vertical="center"/>
    </xf>
    <xf numFmtId="0" fontId="10" fillId="2" borderId="2" xfId="1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vertical="center" wrapText="1"/>
      <protection locked="0"/>
    </xf>
    <xf numFmtId="0" fontId="11" fillId="2" borderId="6" xfId="0" applyFont="1" applyFill="1" applyBorder="1" applyAlignment="1" applyProtection="1">
      <alignment vertical="center" wrapText="1"/>
      <protection locked="0"/>
    </xf>
    <xf numFmtId="0" fontId="16" fillId="2" borderId="7" xfId="0" applyFont="1" applyFill="1" applyBorder="1" applyAlignment="1" applyProtection="1">
      <protection locked="0"/>
    </xf>
    <xf numFmtId="0" fontId="1" fillId="0" borderId="0" xfId="0" applyFont="1" applyProtection="1"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vertical="center" wrapText="1"/>
      <protection locked="0"/>
    </xf>
    <xf numFmtId="0" fontId="9" fillId="2" borderId="0" xfId="0" applyFont="1" applyFill="1" applyBorder="1" applyAlignment="1" applyProtection="1">
      <alignment vertical="center" wrapText="1"/>
      <protection locked="0"/>
    </xf>
    <xf numFmtId="0" fontId="16" fillId="2" borderId="21" xfId="0" applyFont="1" applyFill="1" applyBorder="1" applyAlignment="1" applyProtection="1">
      <protection locked="0"/>
    </xf>
    <xf numFmtId="0" fontId="17" fillId="7" borderId="29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Protection="1">
      <protection locked="0"/>
    </xf>
    <xf numFmtId="0" fontId="17" fillId="6" borderId="27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Protection="1">
      <protection locked="0"/>
    </xf>
    <xf numFmtId="0" fontId="17" fillId="7" borderId="28" xfId="0" applyFont="1" applyFill="1" applyBorder="1" applyAlignment="1" applyProtection="1">
      <alignment horizontal="center" vertical="center" wrapText="1"/>
    </xf>
    <xf numFmtId="0" fontId="20" fillId="6" borderId="26" xfId="0" applyFont="1" applyFill="1" applyBorder="1" applyAlignment="1" applyProtection="1">
      <alignment horizontal="center" vertical="center" wrapText="1"/>
    </xf>
    <xf numFmtId="0" fontId="20" fillId="6" borderId="20" xfId="0" applyFont="1" applyFill="1" applyBorder="1" applyAlignment="1" applyProtection="1">
      <alignment horizontal="center" vertical="center" wrapText="1"/>
    </xf>
    <xf numFmtId="0" fontId="20" fillId="6" borderId="25" xfId="0" applyFont="1" applyFill="1" applyBorder="1" applyAlignment="1" applyProtection="1">
      <alignment horizontal="center" vertical="center" wrapText="1"/>
    </xf>
    <xf numFmtId="0" fontId="17" fillId="7" borderId="34" xfId="0" applyFont="1" applyFill="1" applyBorder="1" applyAlignment="1" applyProtection="1">
      <alignment horizontal="center" vertical="center"/>
    </xf>
    <xf numFmtId="0" fontId="17" fillId="7" borderId="35" xfId="0" applyFont="1" applyFill="1" applyBorder="1" applyAlignment="1" applyProtection="1">
      <alignment horizontal="center" vertical="center" wrapText="1"/>
    </xf>
    <xf numFmtId="0" fontId="17" fillId="7" borderId="33" xfId="0" applyFont="1" applyFill="1" applyBorder="1" applyAlignment="1" applyProtection="1">
      <alignment horizontal="center" vertical="center" wrapText="1"/>
    </xf>
    <xf numFmtId="0" fontId="14" fillId="6" borderId="36" xfId="0" applyFont="1" applyFill="1" applyBorder="1" applyAlignment="1" applyProtection="1">
      <alignment horizontal="center" vertical="center"/>
    </xf>
    <xf numFmtId="0" fontId="14" fillId="6" borderId="37" xfId="0" applyFont="1" applyFill="1" applyBorder="1" applyAlignment="1" applyProtection="1">
      <alignment horizontal="center" vertical="center"/>
    </xf>
    <xf numFmtId="0" fontId="20" fillId="6" borderId="38" xfId="0" applyFont="1" applyFill="1" applyBorder="1" applyAlignment="1" applyProtection="1">
      <alignment horizontal="center" vertical="center" wrapText="1"/>
    </xf>
    <xf numFmtId="0" fontId="20" fillId="6" borderId="39" xfId="0" applyFont="1" applyFill="1" applyBorder="1" applyAlignment="1" applyProtection="1">
      <alignment horizontal="center" vertical="center" wrapText="1"/>
    </xf>
    <xf numFmtId="49" fontId="19" fillId="6" borderId="40" xfId="0" applyNumberFormat="1" applyFont="1" applyFill="1" applyBorder="1" applyAlignment="1" applyProtection="1">
      <alignment horizontal="left" vertical="top" wrapText="1"/>
    </xf>
    <xf numFmtId="49" fontId="19" fillId="6" borderId="41" xfId="0" applyNumberFormat="1" applyFont="1" applyFill="1" applyBorder="1" applyAlignment="1" applyProtection="1">
      <alignment horizontal="left" vertical="top" wrapText="1"/>
    </xf>
    <xf numFmtId="49" fontId="19" fillId="6" borderId="42" xfId="0" applyNumberFormat="1" applyFont="1" applyFill="1" applyBorder="1" applyAlignment="1" applyProtection="1">
      <alignment horizontal="left" vertical="top" wrapText="1"/>
    </xf>
    <xf numFmtId="0" fontId="14" fillId="6" borderId="43" xfId="0" applyFont="1" applyFill="1" applyBorder="1" applyAlignment="1" applyProtection="1">
      <alignment horizontal="center" vertical="center"/>
    </xf>
    <xf numFmtId="0" fontId="20" fillId="6" borderId="44" xfId="0" applyFont="1" applyFill="1" applyBorder="1" applyAlignment="1" applyProtection="1">
      <alignment horizontal="center" vertical="center" wrapText="1"/>
    </xf>
    <xf numFmtId="49" fontId="19" fillId="6" borderId="45" xfId="0" applyNumberFormat="1" applyFont="1" applyFill="1" applyBorder="1" applyAlignment="1" applyProtection="1">
      <alignment horizontal="left" vertical="top" wrapText="1"/>
    </xf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vertical="center"/>
      <protection locked="0"/>
    </xf>
    <xf numFmtId="0" fontId="3" fillId="0" borderId="4" xfId="0" applyFont="1" applyFill="1" applyBorder="1" applyProtection="1"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0" fontId="3" fillId="0" borderId="7" xfId="0" applyFont="1" applyFill="1" applyBorder="1" applyProtection="1">
      <protection locked="0"/>
    </xf>
    <xf numFmtId="0" fontId="6" fillId="5" borderId="0" xfId="0" applyFont="1" applyFill="1" applyBorder="1" applyAlignment="1" applyProtection="1">
      <alignment vertical="center" wrapText="1"/>
      <protection locked="0"/>
    </xf>
    <xf numFmtId="0" fontId="13" fillId="3" borderId="19" xfId="0" applyFont="1" applyFill="1" applyBorder="1" applyAlignment="1" applyProtection="1">
      <alignment horizontal="center" vertical="center" wrapText="1"/>
      <protection locked="0"/>
    </xf>
    <xf numFmtId="0" fontId="13" fillId="3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/>
      <protection locked="0"/>
    </xf>
    <xf numFmtId="0" fontId="13" fillId="3" borderId="11" xfId="0" applyFont="1" applyFill="1" applyBorder="1" applyAlignment="1" applyProtection="1">
      <alignment horizontal="center" vertical="center"/>
      <protection locked="0"/>
    </xf>
    <xf numFmtId="9" fontId="13" fillId="3" borderId="1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0" applyNumberFormat="1" applyProtection="1">
      <protection locked="0"/>
    </xf>
    <xf numFmtId="0" fontId="13" fillId="3" borderId="5" xfId="0" applyFont="1" applyFill="1" applyBorder="1" applyAlignment="1" applyProtection="1">
      <protection locked="0"/>
    </xf>
    <xf numFmtId="0" fontId="13" fillId="3" borderId="7" xfId="0" applyFont="1" applyFill="1" applyBorder="1" applyAlignment="1" applyProtection="1">
      <protection locked="0"/>
    </xf>
    <xf numFmtId="0" fontId="13" fillId="3" borderId="11" xfId="0" applyFont="1" applyFill="1" applyBorder="1" applyAlignment="1" applyProtection="1">
      <alignment vertical="center"/>
      <protection locked="0"/>
    </xf>
    <xf numFmtId="0" fontId="13" fillId="3" borderId="12" xfId="0" applyFont="1" applyFill="1" applyBorder="1" applyAlignment="1" applyProtection="1">
      <alignment vertical="center"/>
      <protection locked="0"/>
    </xf>
    <xf numFmtId="0" fontId="18" fillId="2" borderId="22" xfId="0" applyFont="1" applyFill="1" applyBorder="1" applyAlignment="1" applyProtection="1">
      <alignment horizontal="center" vertical="center" wrapText="1"/>
      <protection locked="0"/>
    </xf>
    <xf numFmtId="0" fontId="18" fillId="2" borderId="23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 applyProtection="1">
      <alignment horizontal="center" vertical="center"/>
      <protection locked="0"/>
    </xf>
    <xf numFmtId="0" fontId="18" fillId="2" borderId="16" xfId="0" applyFont="1" applyFill="1" applyBorder="1" applyAlignment="1" applyProtection="1">
      <alignment horizontal="center" vertical="center"/>
      <protection locked="0"/>
    </xf>
    <xf numFmtId="0" fontId="18" fillId="2" borderId="0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horizontal="center" vertical="center"/>
      <protection locked="0"/>
    </xf>
    <xf numFmtId="0" fontId="18" fillId="2" borderId="30" xfId="0" applyFont="1" applyFill="1" applyBorder="1" applyAlignment="1" applyProtection="1">
      <alignment horizontal="center" vertical="center"/>
      <protection locked="0"/>
    </xf>
    <xf numFmtId="0" fontId="18" fillId="2" borderId="31" xfId="0" applyFont="1" applyFill="1" applyBorder="1" applyAlignment="1" applyProtection="1">
      <alignment horizontal="center" vertical="center"/>
      <protection locked="0"/>
    </xf>
    <xf numFmtId="0" fontId="18" fillId="2" borderId="32" xfId="0" applyFont="1" applyFill="1" applyBorder="1" applyAlignment="1" applyProtection="1">
      <alignment horizontal="center" vertical="center"/>
      <protection locked="0"/>
    </xf>
    <xf numFmtId="0" fontId="7" fillId="3" borderId="16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0" fillId="0" borderId="47" xfId="0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18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13" fillId="3" borderId="13" xfId="0" applyFont="1" applyFill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 applyProtection="1">
      <alignment horizontal="center" vertical="center"/>
      <protection locked="0"/>
    </xf>
    <xf numFmtId="0" fontId="6" fillId="8" borderId="13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0" fontId="6" fillId="8" borderId="46" xfId="0" applyFont="1" applyFill="1" applyBorder="1" applyAlignment="1" applyProtection="1">
      <alignment horizontal="center" vertical="center"/>
      <protection locked="0"/>
    </xf>
    <xf numFmtId="0" fontId="13" fillId="3" borderId="46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2">
    <dxf>
      <font>
        <color rgb="FFFF0000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00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3" zoomScale="60" zoomScaleNormal="60" zoomScaleSheetLayoutView="80" workbookViewId="0">
      <pane xSplit="2" ySplit="4" topLeftCell="C7" activePane="bottomRight" state="frozen"/>
      <selection activeCell="A3" sqref="A3"/>
      <selection pane="topRight" activeCell="C3" sqref="C3"/>
      <selection pane="bottomLeft" activeCell="A6" sqref="A6"/>
      <selection pane="bottomRight" activeCell="B8" sqref="B8"/>
    </sheetView>
  </sheetViews>
  <sheetFormatPr defaultColWidth="9.140625" defaultRowHeight="35.25"/>
  <cols>
    <col min="1" max="1" width="7.42578125" style="20" customWidth="1"/>
    <col min="2" max="2" width="114.28515625" style="21" bestFit="1" customWidth="1"/>
    <col min="3" max="6" width="35.85546875" style="21" customWidth="1"/>
    <col min="7" max="7" width="23.5703125" style="22" customWidth="1"/>
    <col min="8" max="16384" width="9.140625" style="10"/>
  </cols>
  <sheetData>
    <row r="1" spans="1:7" ht="61.5" hidden="1" customHeight="1" thickBot="1">
      <c r="A1" s="6" t="s">
        <v>23</v>
      </c>
      <c r="B1" s="7"/>
      <c r="C1" s="8"/>
      <c r="D1" s="8"/>
      <c r="E1" s="8"/>
      <c r="F1" s="8"/>
      <c r="G1" s="9"/>
    </row>
    <row r="2" spans="1:7" ht="39.75" hidden="1" customHeight="1" thickBot="1">
      <c r="A2" s="11" t="s">
        <v>24</v>
      </c>
      <c r="B2" s="12"/>
      <c r="C2" s="13"/>
      <c r="D2" s="13"/>
      <c r="E2" s="13"/>
      <c r="F2" s="13"/>
      <c r="G2" s="14"/>
    </row>
    <row r="3" spans="1:7" ht="39.75" customHeight="1">
      <c r="A3" s="70" t="s">
        <v>269</v>
      </c>
      <c r="B3" s="71"/>
      <c r="C3" s="71"/>
      <c r="D3" s="71"/>
      <c r="E3" s="71"/>
      <c r="F3" s="71"/>
      <c r="G3" s="72"/>
    </row>
    <row r="4" spans="1:7" ht="39.75" customHeight="1">
      <c r="A4" s="73"/>
      <c r="B4" s="74"/>
      <c r="C4" s="74"/>
      <c r="D4" s="74"/>
      <c r="E4" s="74"/>
      <c r="F4" s="74"/>
      <c r="G4" s="75"/>
    </row>
    <row r="5" spans="1:7" ht="73.900000000000006" customHeight="1" thickBot="1">
      <c r="A5" s="76"/>
      <c r="B5" s="77"/>
      <c r="C5" s="77"/>
      <c r="D5" s="77"/>
      <c r="E5" s="77"/>
      <c r="F5" s="77"/>
      <c r="G5" s="78"/>
    </row>
    <row r="6" spans="1:7" s="16" customFormat="1" ht="80.45" customHeight="1" thickBot="1">
      <c r="A6" s="27" t="s">
        <v>26</v>
      </c>
      <c r="B6" s="29" t="s">
        <v>27</v>
      </c>
      <c r="C6" s="28" t="s">
        <v>0</v>
      </c>
      <c r="D6" s="23" t="s">
        <v>1</v>
      </c>
      <c r="E6" s="23" t="s">
        <v>2</v>
      </c>
      <c r="F6" s="23" t="s">
        <v>3</v>
      </c>
      <c r="G6" s="15" t="s">
        <v>28</v>
      </c>
    </row>
    <row r="7" spans="1:7" s="18" customFormat="1" ht="34.5">
      <c r="A7" s="37">
        <v>1</v>
      </c>
      <c r="B7" s="34" t="s">
        <v>31</v>
      </c>
      <c r="C7" s="38" t="s">
        <v>82</v>
      </c>
      <c r="D7" s="24" t="s">
        <v>83</v>
      </c>
      <c r="E7" s="24" t="s">
        <v>84</v>
      </c>
      <c r="F7" s="24" t="s">
        <v>85</v>
      </c>
      <c r="G7" s="17"/>
    </row>
    <row r="8" spans="1:7" ht="105">
      <c r="A8" s="30">
        <v>2</v>
      </c>
      <c r="B8" s="35" t="s">
        <v>32</v>
      </c>
      <c r="C8" s="32" t="s">
        <v>86</v>
      </c>
      <c r="D8" s="25" t="s">
        <v>87</v>
      </c>
      <c r="E8" s="25" t="s">
        <v>88</v>
      </c>
      <c r="F8" s="25" t="s">
        <v>89</v>
      </c>
      <c r="G8" s="17"/>
    </row>
    <row r="9" spans="1:7" ht="34.5">
      <c r="A9" s="30">
        <v>3</v>
      </c>
      <c r="B9" s="35" t="s">
        <v>33</v>
      </c>
      <c r="C9" s="32" t="s">
        <v>90</v>
      </c>
      <c r="D9" s="25" t="s">
        <v>91</v>
      </c>
      <c r="E9" s="25" t="s">
        <v>92</v>
      </c>
      <c r="F9" s="25" t="s">
        <v>93</v>
      </c>
      <c r="G9" s="17"/>
    </row>
    <row r="10" spans="1:7" ht="34.5">
      <c r="A10" s="30">
        <v>4</v>
      </c>
      <c r="B10" s="35" t="s">
        <v>34</v>
      </c>
      <c r="C10" s="32" t="s">
        <v>94</v>
      </c>
      <c r="D10" s="25" t="s">
        <v>95</v>
      </c>
      <c r="E10" s="25" t="s">
        <v>96</v>
      </c>
      <c r="F10" s="25" t="s">
        <v>97</v>
      </c>
      <c r="G10" s="17"/>
    </row>
    <row r="11" spans="1:7" ht="46.5">
      <c r="A11" s="30">
        <v>5</v>
      </c>
      <c r="B11" s="35" t="s">
        <v>35</v>
      </c>
      <c r="C11" s="32" t="s">
        <v>85</v>
      </c>
      <c r="D11" s="25" t="s">
        <v>98</v>
      </c>
      <c r="E11" s="25" t="s">
        <v>99</v>
      </c>
      <c r="F11" s="25" t="s">
        <v>100</v>
      </c>
      <c r="G11" s="17"/>
    </row>
    <row r="12" spans="1:7" s="19" customFormat="1" ht="34.5">
      <c r="A12" s="30">
        <v>6</v>
      </c>
      <c r="B12" s="35" t="s">
        <v>36</v>
      </c>
      <c r="C12" s="32" t="s">
        <v>90</v>
      </c>
      <c r="D12" s="25" t="s">
        <v>101</v>
      </c>
      <c r="E12" s="25" t="s">
        <v>102</v>
      </c>
      <c r="F12" s="25" t="s">
        <v>91</v>
      </c>
      <c r="G12" s="17"/>
    </row>
    <row r="13" spans="1:7" s="19" customFormat="1" ht="46.5">
      <c r="A13" s="30">
        <v>7</v>
      </c>
      <c r="B13" s="35" t="s">
        <v>37</v>
      </c>
      <c r="C13" s="32" t="s">
        <v>103</v>
      </c>
      <c r="D13" s="25" t="s">
        <v>104</v>
      </c>
      <c r="E13" s="25" t="s">
        <v>105</v>
      </c>
      <c r="F13" s="25" t="s">
        <v>106</v>
      </c>
      <c r="G13" s="17"/>
    </row>
    <row r="14" spans="1:7" s="19" customFormat="1" ht="131.25">
      <c r="A14" s="30">
        <v>8</v>
      </c>
      <c r="B14" s="35" t="s">
        <v>38</v>
      </c>
      <c r="C14" s="32" t="s">
        <v>107</v>
      </c>
      <c r="D14" s="25" t="s">
        <v>108</v>
      </c>
      <c r="E14" s="25" t="s">
        <v>109</v>
      </c>
      <c r="F14" s="25" t="s">
        <v>110</v>
      </c>
      <c r="G14" s="17"/>
    </row>
    <row r="15" spans="1:7" s="19" customFormat="1" ht="105">
      <c r="A15" s="30">
        <v>9</v>
      </c>
      <c r="B15" s="35" t="s">
        <v>39</v>
      </c>
      <c r="C15" s="32" t="s">
        <v>111</v>
      </c>
      <c r="D15" s="25" t="s">
        <v>112</v>
      </c>
      <c r="E15" s="25" t="s">
        <v>113</v>
      </c>
      <c r="F15" s="25" t="s">
        <v>114</v>
      </c>
      <c r="G15" s="17"/>
    </row>
    <row r="16" spans="1:7" s="19" customFormat="1" ht="34.5">
      <c r="A16" s="30">
        <v>10</v>
      </c>
      <c r="B16" s="35" t="s">
        <v>40</v>
      </c>
      <c r="C16" s="32" t="s">
        <v>115</v>
      </c>
      <c r="D16" s="25" t="s">
        <v>116</v>
      </c>
      <c r="E16" s="25" t="s">
        <v>117</v>
      </c>
      <c r="F16" s="25" t="s">
        <v>118</v>
      </c>
      <c r="G16" s="17"/>
    </row>
    <row r="17" spans="1:7" s="19" customFormat="1" ht="46.5">
      <c r="A17" s="30">
        <v>11</v>
      </c>
      <c r="B17" s="35" t="s">
        <v>41</v>
      </c>
      <c r="C17" s="32" t="s">
        <v>119</v>
      </c>
      <c r="D17" s="25" t="s">
        <v>120</v>
      </c>
      <c r="E17" s="25" t="s">
        <v>121</v>
      </c>
      <c r="F17" s="25" t="s">
        <v>122</v>
      </c>
      <c r="G17" s="17"/>
    </row>
    <row r="18" spans="1:7" s="19" customFormat="1" ht="46.5">
      <c r="A18" s="30">
        <v>12</v>
      </c>
      <c r="B18" s="35" t="s">
        <v>42</v>
      </c>
      <c r="C18" s="32" t="s">
        <v>123</v>
      </c>
      <c r="D18" s="25" t="s">
        <v>124</v>
      </c>
      <c r="E18" s="25" t="s">
        <v>125</v>
      </c>
      <c r="F18" s="25" t="s">
        <v>126</v>
      </c>
      <c r="G18" s="17"/>
    </row>
    <row r="19" spans="1:7" s="19" customFormat="1" ht="46.5">
      <c r="A19" s="30">
        <v>13</v>
      </c>
      <c r="B19" s="35" t="s">
        <v>43</v>
      </c>
      <c r="C19" s="32" t="s">
        <v>85</v>
      </c>
      <c r="D19" s="25" t="s">
        <v>127</v>
      </c>
      <c r="E19" s="25" t="s">
        <v>84</v>
      </c>
      <c r="F19" s="25" t="s">
        <v>83</v>
      </c>
      <c r="G19" s="17"/>
    </row>
    <row r="20" spans="1:7" s="19" customFormat="1" ht="52.5">
      <c r="A20" s="30">
        <v>14</v>
      </c>
      <c r="B20" s="35" t="s">
        <v>44</v>
      </c>
      <c r="C20" s="32" t="s">
        <v>128</v>
      </c>
      <c r="D20" s="25" t="s">
        <v>129</v>
      </c>
      <c r="E20" s="25" t="s">
        <v>130</v>
      </c>
      <c r="F20" s="25" t="s">
        <v>131</v>
      </c>
      <c r="G20" s="17"/>
    </row>
    <row r="21" spans="1:7" s="19" customFormat="1" ht="34.5">
      <c r="A21" s="30">
        <v>15</v>
      </c>
      <c r="B21" s="35" t="s">
        <v>45</v>
      </c>
      <c r="C21" s="32" t="s">
        <v>132</v>
      </c>
      <c r="D21" s="25" t="s">
        <v>133</v>
      </c>
      <c r="E21" s="25" t="s">
        <v>134</v>
      </c>
      <c r="F21" s="25" t="s">
        <v>135</v>
      </c>
      <c r="G21" s="17"/>
    </row>
    <row r="22" spans="1:7" s="19" customFormat="1" ht="34.5">
      <c r="A22" s="30">
        <v>16</v>
      </c>
      <c r="B22" s="35" t="s">
        <v>46</v>
      </c>
      <c r="C22" s="32" t="s">
        <v>132</v>
      </c>
      <c r="D22" s="25" t="s">
        <v>134</v>
      </c>
      <c r="E22" s="25" t="s">
        <v>136</v>
      </c>
      <c r="F22" s="25" t="s">
        <v>137</v>
      </c>
      <c r="G22" s="17"/>
    </row>
    <row r="23" spans="1:7" s="19" customFormat="1" ht="34.5">
      <c r="A23" s="30">
        <v>17</v>
      </c>
      <c r="B23" s="35" t="s">
        <v>47</v>
      </c>
      <c r="C23" s="32" t="s">
        <v>138</v>
      </c>
      <c r="D23" s="25" t="s">
        <v>139</v>
      </c>
      <c r="E23" s="25" t="s">
        <v>140</v>
      </c>
      <c r="F23" s="25" t="s">
        <v>141</v>
      </c>
      <c r="G23" s="17"/>
    </row>
    <row r="24" spans="1:7" s="19" customFormat="1" ht="34.5">
      <c r="A24" s="30">
        <v>18</v>
      </c>
      <c r="B24" s="35" t="s">
        <v>48</v>
      </c>
      <c r="C24" s="32" t="s">
        <v>138</v>
      </c>
      <c r="D24" s="25" t="s">
        <v>139</v>
      </c>
      <c r="E24" s="25" t="s">
        <v>140</v>
      </c>
      <c r="F24" s="25" t="s">
        <v>141</v>
      </c>
      <c r="G24" s="17"/>
    </row>
    <row r="25" spans="1:7" s="19" customFormat="1" ht="157.5">
      <c r="A25" s="30">
        <v>19</v>
      </c>
      <c r="B25" s="35" t="s">
        <v>49</v>
      </c>
      <c r="C25" s="32" t="s">
        <v>142</v>
      </c>
      <c r="D25" s="25" t="s">
        <v>143</v>
      </c>
      <c r="E25" s="25" t="s">
        <v>144</v>
      </c>
      <c r="F25" s="25" t="s">
        <v>145</v>
      </c>
      <c r="G25" s="17"/>
    </row>
    <row r="26" spans="1:7" s="19" customFormat="1" ht="78.75">
      <c r="A26" s="30">
        <v>20</v>
      </c>
      <c r="B26" s="35" t="s">
        <v>50</v>
      </c>
      <c r="C26" s="32" t="s">
        <v>146</v>
      </c>
      <c r="D26" s="25" t="s">
        <v>147</v>
      </c>
      <c r="E26" s="25" t="s">
        <v>148</v>
      </c>
      <c r="F26" s="25" t="s">
        <v>149</v>
      </c>
      <c r="G26" s="17"/>
    </row>
    <row r="27" spans="1:7" s="19" customFormat="1" ht="105">
      <c r="A27" s="30">
        <v>21</v>
      </c>
      <c r="B27" s="35" t="s">
        <v>51</v>
      </c>
      <c r="C27" s="32" t="s">
        <v>150</v>
      </c>
      <c r="D27" s="25" t="s">
        <v>151</v>
      </c>
      <c r="E27" s="25" t="s">
        <v>152</v>
      </c>
      <c r="F27" s="25" t="s">
        <v>153</v>
      </c>
      <c r="G27" s="17"/>
    </row>
    <row r="28" spans="1:7" s="19" customFormat="1" ht="131.25">
      <c r="A28" s="30">
        <v>22</v>
      </c>
      <c r="B28" s="35" t="s">
        <v>52</v>
      </c>
      <c r="C28" s="32" t="s">
        <v>154</v>
      </c>
      <c r="D28" s="25" t="s">
        <v>155</v>
      </c>
      <c r="E28" s="25" t="s">
        <v>156</v>
      </c>
      <c r="F28" s="25" t="s">
        <v>157</v>
      </c>
      <c r="G28" s="17"/>
    </row>
    <row r="29" spans="1:7" s="19" customFormat="1" ht="105">
      <c r="A29" s="30">
        <v>23</v>
      </c>
      <c r="B29" s="35" t="s">
        <v>53</v>
      </c>
      <c r="C29" s="32" t="s">
        <v>158</v>
      </c>
      <c r="D29" s="25" t="s">
        <v>159</v>
      </c>
      <c r="E29" s="25" t="s">
        <v>160</v>
      </c>
      <c r="F29" s="25" t="s">
        <v>161</v>
      </c>
      <c r="G29" s="17"/>
    </row>
    <row r="30" spans="1:7" s="19" customFormat="1" ht="52.5">
      <c r="A30" s="30">
        <v>24</v>
      </c>
      <c r="B30" s="35" t="s">
        <v>54</v>
      </c>
      <c r="C30" s="32" t="s">
        <v>162</v>
      </c>
      <c r="D30" s="25" t="s">
        <v>163</v>
      </c>
      <c r="E30" s="25" t="s">
        <v>164</v>
      </c>
      <c r="F30" s="25" t="s">
        <v>165</v>
      </c>
      <c r="G30" s="17"/>
    </row>
    <row r="31" spans="1:7" s="19" customFormat="1" ht="131.25">
      <c r="A31" s="30">
        <v>25</v>
      </c>
      <c r="B31" s="35" t="s">
        <v>55</v>
      </c>
      <c r="C31" s="32">
        <v>50</v>
      </c>
      <c r="D31" s="25">
        <v>100</v>
      </c>
      <c r="E31" s="25">
        <v>500</v>
      </c>
      <c r="F31" s="25" t="s">
        <v>166</v>
      </c>
      <c r="G31" s="17"/>
    </row>
    <row r="32" spans="1:7" s="19" customFormat="1" ht="131.25">
      <c r="A32" s="30">
        <v>26</v>
      </c>
      <c r="B32" s="35" t="s">
        <v>56</v>
      </c>
      <c r="C32" s="32" t="s">
        <v>167</v>
      </c>
      <c r="D32" s="25" t="s">
        <v>168</v>
      </c>
      <c r="E32" s="25" t="s">
        <v>169</v>
      </c>
      <c r="F32" s="25" t="s">
        <v>170</v>
      </c>
      <c r="G32" s="17"/>
    </row>
    <row r="33" spans="1:7" s="19" customFormat="1" ht="34.5">
      <c r="A33" s="30">
        <v>27</v>
      </c>
      <c r="B33" s="35" t="s">
        <v>57</v>
      </c>
      <c r="C33" s="32" t="s">
        <v>128</v>
      </c>
      <c r="D33" s="25" t="s">
        <v>171</v>
      </c>
      <c r="E33" s="25" t="s">
        <v>172</v>
      </c>
      <c r="F33" s="25" t="s">
        <v>173</v>
      </c>
      <c r="G33" s="17"/>
    </row>
    <row r="34" spans="1:7" s="19" customFormat="1" ht="46.5">
      <c r="A34" s="30">
        <v>28</v>
      </c>
      <c r="B34" s="35" t="s">
        <v>58</v>
      </c>
      <c r="C34" s="32" t="s">
        <v>174</v>
      </c>
      <c r="D34" s="25" t="s">
        <v>175</v>
      </c>
      <c r="E34" s="25" t="s">
        <v>176</v>
      </c>
      <c r="F34" s="25" t="s">
        <v>177</v>
      </c>
      <c r="G34" s="17"/>
    </row>
    <row r="35" spans="1:7" s="19" customFormat="1" ht="46.5">
      <c r="A35" s="30">
        <v>29</v>
      </c>
      <c r="B35" s="35" t="s">
        <v>59</v>
      </c>
      <c r="C35" s="32" t="s">
        <v>178</v>
      </c>
      <c r="D35" s="25" t="s">
        <v>179</v>
      </c>
      <c r="E35" s="25" t="s">
        <v>180</v>
      </c>
      <c r="F35" s="25" t="s">
        <v>181</v>
      </c>
      <c r="G35" s="17"/>
    </row>
    <row r="36" spans="1:7" s="19" customFormat="1" ht="183.75">
      <c r="A36" s="30">
        <v>30</v>
      </c>
      <c r="B36" s="35" t="s">
        <v>60</v>
      </c>
      <c r="C36" s="32" t="s">
        <v>182</v>
      </c>
      <c r="D36" s="25" t="s">
        <v>183</v>
      </c>
      <c r="E36" s="25" t="s">
        <v>184</v>
      </c>
      <c r="F36" s="25" t="s">
        <v>185</v>
      </c>
      <c r="G36" s="17"/>
    </row>
    <row r="37" spans="1:7" s="19" customFormat="1" ht="131.25">
      <c r="A37" s="30">
        <v>31</v>
      </c>
      <c r="B37" s="35" t="s">
        <v>61</v>
      </c>
      <c r="C37" s="32" t="s">
        <v>186</v>
      </c>
      <c r="D37" s="25" t="s">
        <v>187</v>
      </c>
      <c r="E37" s="25" t="s">
        <v>188</v>
      </c>
      <c r="F37" s="25" t="s">
        <v>189</v>
      </c>
      <c r="G37" s="17"/>
    </row>
    <row r="38" spans="1:7" s="19" customFormat="1" ht="34.5">
      <c r="A38" s="30">
        <v>32</v>
      </c>
      <c r="B38" s="35" t="s">
        <v>62</v>
      </c>
      <c r="C38" s="32" t="s">
        <v>190</v>
      </c>
      <c r="D38" s="25" t="s">
        <v>191</v>
      </c>
      <c r="E38" s="25" t="s">
        <v>192</v>
      </c>
      <c r="F38" s="25" t="s">
        <v>193</v>
      </c>
      <c r="G38" s="17"/>
    </row>
    <row r="39" spans="1:7" s="19" customFormat="1" ht="46.5">
      <c r="A39" s="30">
        <v>33</v>
      </c>
      <c r="B39" s="35" t="s">
        <v>63</v>
      </c>
      <c r="C39" s="32" t="s">
        <v>194</v>
      </c>
      <c r="D39" s="25" t="s">
        <v>195</v>
      </c>
      <c r="E39" s="25" t="s">
        <v>196</v>
      </c>
      <c r="F39" s="25" t="s">
        <v>197</v>
      </c>
      <c r="G39" s="17"/>
    </row>
    <row r="40" spans="1:7" s="19" customFormat="1" ht="79.5" thickBot="1">
      <c r="A40" s="30">
        <v>34</v>
      </c>
      <c r="B40" s="39" t="s">
        <v>64</v>
      </c>
      <c r="C40" s="32" t="s">
        <v>198</v>
      </c>
      <c r="D40" s="25" t="s">
        <v>199</v>
      </c>
      <c r="E40" s="25" t="s">
        <v>200</v>
      </c>
      <c r="F40" s="25" t="s">
        <v>201</v>
      </c>
      <c r="G40" s="17"/>
    </row>
    <row r="41" spans="1:7" s="19" customFormat="1" ht="78.75">
      <c r="A41" s="30">
        <v>35</v>
      </c>
      <c r="B41" s="34" t="s">
        <v>65</v>
      </c>
      <c r="C41" s="32" t="s">
        <v>202</v>
      </c>
      <c r="D41" s="25" t="s">
        <v>203</v>
      </c>
      <c r="E41" s="25" t="s">
        <v>204</v>
      </c>
      <c r="F41" s="25" t="s">
        <v>205</v>
      </c>
      <c r="G41" s="17"/>
    </row>
    <row r="42" spans="1:7" s="19" customFormat="1" ht="46.5">
      <c r="A42" s="30">
        <v>36</v>
      </c>
      <c r="B42" s="35" t="s">
        <v>66</v>
      </c>
      <c r="C42" s="32" t="s">
        <v>206</v>
      </c>
      <c r="D42" s="25" t="s">
        <v>207</v>
      </c>
      <c r="E42" s="25" t="s">
        <v>208</v>
      </c>
      <c r="F42" s="25" t="s">
        <v>209</v>
      </c>
      <c r="G42" s="17"/>
    </row>
    <row r="43" spans="1:7" s="19" customFormat="1" thickBot="1">
      <c r="A43" s="31">
        <v>37</v>
      </c>
      <c r="B43" s="36" t="s">
        <v>67</v>
      </c>
      <c r="C43" s="33" t="s">
        <v>210</v>
      </c>
      <c r="D43" s="26" t="s">
        <v>211</v>
      </c>
      <c r="E43" s="26" t="s">
        <v>121</v>
      </c>
      <c r="F43" s="26" t="s">
        <v>212</v>
      </c>
      <c r="G43" s="17"/>
    </row>
    <row r="44" spans="1:7" s="19" customFormat="1" ht="79.5" thickBot="1">
      <c r="A44" s="31">
        <v>38</v>
      </c>
      <c r="B44" s="36" t="s">
        <v>68</v>
      </c>
      <c r="C44" s="33" t="s">
        <v>213</v>
      </c>
      <c r="D44" s="26" t="s">
        <v>214</v>
      </c>
      <c r="E44" s="26" t="s">
        <v>215</v>
      </c>
      <c r="F44" s="26" t="s">
        <v>216</v>
      </c>
      <c r="G44" s="17"/>
    </row>
    <row r="45" spans="1:7" s="19" customFormat="1" ht="79.5" thickBot="1">
      <c r="A45" s="31">
        <v>39</v>
      </c>
      <c r="B45" s="36" t="s">
        <v>69</v>
      </c>
      <c r="C45" s="33" t="s">
        <v>217</v>
      </c>
      <c r="D45" s="26" t="s">
        <v>218</v>
      </c>
      <c r="E45" s="26" t="s">
        <v>219</v>
      </c>
      <c r="F45" s="26" t="s">
        <v>220</v>
      </c>
      <c r="G45" s="17"/>
    </row>
    <row r="46" spans="1:7" s="19" customFormat="1" thickBot="1">
      <c r="A46" s="31">
        <v>40</v>
      </c>
      <c r="B46" s="36" t="s">
        <v>70</v>
      </c>
      <c r="C46" s="33" t="s">
        <v>221</v>
      </c>
      <c r="D46" s="26" t="s">
        <v>222</v>
      </c>
      <c r="E46" s="26" t="s">
        <v>223</v>
      </c>
      <c r="F46" s="26" t="s">
        <v>224</v>
      </c>
      <c r="G46" s="17"/>
    </row>
    <row r="47" spans="1:7" s="19" customFormat="1" thickBot="1">
      <c r="A47" s="31">
        <v>41</v>
      </c>
      <c r="B47" s="36" t="s">
        <v>71</v>
      </c>
      <c r="C47" s="33" t="s">
        <v>225</v>
      </c>
      <c r="D47" s="26" t="s">
        <v>226</v>
      </c>
      <c r="E47" s="26" t="s">
        <v>227</v>
      </c>
      <c r="F47" s="26" t="s">
        <v>228</v>
      </c>
      <c r="G47" s="17"/>
    </row>
    <row r="48" spans="1:7" s="19" customFormat="1" ht="79.5" thickBot="1">
      <c r="A48" s="31">
        <v>42</v>
      </c>
      <c r="B48" s="36" t="s">
        <v>72</v>
      </c>
      <c r="C48" s="33" t="s">
        <v>229</v>
      </c>
      <c r="D48" s="26" t="s">
        <v>230</v>
      </c>
      <c r="E48" s="26" t="s">
        <v>231</v>
      </c>
      <c r="F48" s="26" t="s">
        <v>232</v>
      </c>
      <c r="G48" s="17"/>
    </row>
    <row r="49" spans="1:7" s="19" customFormat="1" ht="47.25" thickBot="1">
      <c r="A49" s="31">
        <v>43</v>
      </c>
      <c r="B49" s="36" t="s">
        <v>73</v>
      </c>
      <c r="C49" s="33" t="s">
        <v>233</v>
      </c>
      <c r="D49" s="26" t="s">
        <v>234</v>
      </c>
      <c r="E49" s="26" t="s">
        <v>235</v>
      </c>
      <c r="F49" s="26" t="s">
        <v>236</v>
      </c>
      <c r="G49" s="17"/>
    </row>
    <row r="50" spans="1:7" s="19" customFormat="1" ht="53.25" thickBot="1">
      <c r="A50" s="31">
        <v>44</v>
      </c>
      <c r="B50" s="36" t="s">
        <v>74</v>
      </c>
      <c r="C50" s="33" t="s">
        <v>237</v>
      </c>
      <c r="D50" s="26" t="s">
        <v>238</v>
      </c>
      <c r="E50" s="26" t="s">
        <v>239</v>
      </c>
      <c r="F50" s="26" t="s">
        <v>232</v>
      </c>
      <c r="G50" s="17"/>
    </row>
    <row r="51" spans="1:7" s="19" customFormat="1" ht="53.25" thickBot="1">
      <c r="A51" s="31">
        <v>45</v>
      </c>
      <c r="B51" s="36" t="s">
        <v>75</v>
      </c>
      <c r="C51" s="33" t="s">
        <v>240</v>
      </c>
      <c r="D51" s="26" t="s">
        <v>241</v>
      </c>
      <c r="E51" s="26" t="s">
        <v>242</v>
      </c>
      <c r="F51" s="26" t="s">
        <v>243</v>
      </c>
      <c r="G51" s="17"/>
    </row>
    <row r="52" spans="1:7" s="19" customFormat="1" thickBot="1">
      <c r="A52" s="31">
        <v>46</v>
      </c>
      <c r="B52" s="36" t="s">
        <v>76</v>
      </c>
      <c r="C52" s="33" t="s">
        <v>222</v>
      </c>
      <c r="D52" s="26" t="s">
        <v>244</v>
      </c>
      <c r="E52" s="26" t="s">
        <v>245</v>
      </c>
      <c r="F52" s="26" t="s">
        <v>246</v>
      </c>
      <c r="G52" s="17"/>
    </row>
    <row r="53" spans="1:7" s="19" customFormat="1" thickBot="1">
      <c r="A53" s="31">
        <v>47</v>
      </c>
      <c r="B53" s="36" t="s">
        <v>77</v>
      </c>
      <c r="C53" s="33" t="s">
        <v>247</v>
      </c>
      <c r="D53" s="26" t="s">
        <v>248</v>
      </c>
      <c r="E53" s="26" t="s">
        <v>249</v>
      </c>
      <c r="F53" s="26" t="s">
        <v>165</v>
      </c>
      <c r="G53" s="17"/>
    </row>
    <row r="54" spans="1:7" s="19" customFormat="1" ht="105.75" thickBot="1">
      <c r="A54" s="31">
        <v>48</v>
      </c>
      <c r="B54" s="36" t="s">
        <v>78</v>
      </c>
      <c r="C54" s="33" t="s">
        <v>250</v>
      </c>
      <c r="D54" s="26" t="s">
        <v>251</v>
      </c>
      <c r="E54" s="26" t="s">
        <v>252</v>
      </c>
      <c r="F54" s="26" t="s">
        <v>253</v>
      </c>
      <c r="G54" s="17"/>
    </row>
    <row r="55" spans="1:7" s="19" customFormat="1" thickBot="1">
      <c r="A55" s="31">
        <v>49</v>
      </c>
      <c r="B55" s="36" t="s">
        <v>79</v>
      </c>
      <c r="C55" s="33" t="s">
        <v>254</v>
      </c>
      <c r="D55" s="26" t="s">
        <v>255</v>
      </c>
      <c r="E55" s="26" t="s">
        <v>256</v>
      </c>
      <c r="F55" s="26" t="s">
        <v>257</v>
      </c>
      <c r="G55" s="17"/>
    </row>
    <row r="56" spans="1:7" s="19" customFormat="1" thickBot="1">
      <c r="A56" s="31">
        <v>50</v>
      </c>
      <c r="B56" s="36" t="s">
        <v>80</v>
      </c>
      <c r="C56" s="33" t="s">
        <v>258</v>
      </c>
      <c r="D56" s="26" t="s">
        <v>259</v>
      </c>
      <c r="E56" s="26" t="s">
        <v>260</v>
      </c>
      <c r="F56" s="26" t="s">
        <v>261</v>
      </c>
      <c r="G56" s="17"/>
    </row>
    <row r="57" spans="1:7" s="19" customFormat="1" thickBot="1">
      <c r="A57" s="31">
        <v>51</v>
      </c>
      <c r="B57" s="36" t="s">
        <v>81</v>
      </c>
      <c r="C57" s="33" t="s">
        <v>262</v>
      </c>
      <c r="D57" s="26" t="s">
        <v>263</v>
      </c>
      <c r="E57" s="26" t="s">
        <v>264</v>
      </c>
      <c r="F57" s="26" t="s">
        <v>265</v>
      </c>
      <c r="G57" s="17"/>
    </row>
  </sheetData>
  <sheetProtection selectLockedCells="1"/>
  <mergeCells count="1">
    <mergeCell ref="A3:G5"/>
  </mergeCells>
  <dataValidations count="1">
    <dataValidation type="list" allowBlank="1" showInputMessage="1" showErrorMessage="1" sqref="G7:G57" xr:uid="{F28BC24D-AA9A-44E1-BC0F-B6F51173B5E4}">
      <formula1>"A, B, C, D,a,b,c,d"</formula1>
    </dataValidation>
  </dataValidations>
  <hyperlinks>
    <hyperlink ref="A1" r:id="rId1" xr:uid="{00000000-0004-0000-0000-000000000000}"/>
  </hyperlinks>
  <printOptions horizontalCentered="1" verticalCentered="1"/>
  <pageMargins left="0.19685039370078741" right="0.19685039370078741" top="0.55118110236220474" bottom="0.62992125984251968" header="0.31496062992125984" footer="0.31496062992125984"/>
  <pageSetup paperSize="9" scale="99" orientation="portrait" r:id="rId2"/>
  <headerFooter>
    <oddFooter>Page &amp;P of &amp;N</oddFooter>
  </headerFooter>
  <rowBreaks count="1" manualBreakCount="1">
    <brk id="26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7"/>
  <sheetViews>
    <sheetView topLeftCell="A5" zoomScale="130" zoomScaleNormal="130" workbookViewId="0">
      <selection activeCell="P60" sqref="P60"/>
    </sheetView>
  </sheetViews>
  <sheetFormatPr defaultRowHeight="15"/>
  <cols>
    <col min="1" max="1" width="6.85546875" bestFit="1" customWidth="1"/>
    <col min="2" max="2" width="9.85546875" customWidth="1"/>
    <col min="3" max="3" width="9.28515625" customWidth="1"/>
    <col min="4" max="4" width="8.140625" customWidth="1"/>
    <col min="5" max="5" width="0.85546875" customWidth="1"/>
    <col min="6" max="6" width="6.85546875" hidden="1" customWidth="1"/>
    <col min="7" max="7" width="10.140625" hidden="1" customWidth="1"/>
    <col min="8" max="8" width="9.5703125" hidden="1" customWidth="1"/>
    <col min="9" max="9" width="8.85546875" hidden="1" customWidth="1"/>
    <col min="10" max="10" width="1.28515625" hidden="1" customWidth="1"/>
    <col min="11" max="11" width="6.85546875" hidden="1" customWidth="1"/>
    <col min="12" max="12" width="10" hidden="1" customWidth="1"/>
    <col min="13" max="13" width="9.5703125" hidden="1" customWidth="1"/>
    <col min="14" max="14" width="8.85546875" hidden="1" customWidth="1"/>
  </cols>
  <sheetData>
    <row r="1" spans="1:14" hidden="1">
      <c r="A1" s="79" t="s">
        <v>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hidden="1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 ht="43.9" hidden="1" customHeight="1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</row>
    <row r="4" spans="1:14" ht="15.75" hidden="1" thickBot="1"/>
    <row r="5" spans="1:14" s="4" customFormat="1" ht="91.15" customHeight="1" thickBot="1">
      <c r="A5" s="1" t="s">
        <v>21</v>
      </c>
      <c r="B5" s="1" t="s">
        <v>19</v>
      </c>
      <c r="C5" s="1" t="s">
        <v>18</v>
      </c>
      <c r="D5" s="1" t="s">
        <v>6</v>
      </c>
      <c r="F5" s="1">
        <v>7</v>
      </c>
      <c r="G5" s="1" t="s">
        <v>19</v>
      </c>
      <c r="H5" s="1" t="s">
        <v>18</v>
      </c>
      <c r="I5" s="1" t="s">
        <v>6</v>
      </c>
      <c r="K5" s="1" t="s">
        <v>21</v>
      </c>
      <c r="L5" s="1" t="s">
        <v>19</v>
      </c>
      <c r="M5" s="1" t="s">
        <v>18</v>
      </c>
      <c r="N5" s="1" t="s">
        <v>6</v>
      </c>
    </row>
    <row r="6" spans="1:14" ht="19.899999999999999" customHeight="1" thickTop="1" thickBot="1">
      <c r="A6" s="2">
        <v>1</v>
      </c>
      <c r="B6" s="5">
        <v>1</v>
      </c>
      <c r="C6" s="5"/>
      <c r="D6" s="5" t="s">
        <v>2</v>
      </c>
      <c r="F6" s="2">
        <v>34</v>
      </c>
      <c r="G6" s="5"/>
      <c r="H6" s="5"/>
      <c r="I6" s="5"/>
      <c r="K6" s="2">
        <v>67</v>
      </c>
      <c r="L6" s="5"/>
      <c r="M6" s="5"/>
      <c r="N6" s="5"/>
    </row>
    <row r="7" spans="1:14" ht="19.899999999999999" customHeight="1" thickTop="1" thickBot="1">
      <c r="A7" s="2">
        <v>2</v>
      </c>
      <c r="B7" s="5">
        <v>1</v>
      </c>
      <c r="C7" s="5"/>
      <c r="D7" s="5" t="s">
        <v>0</v>
      </c>
      <c r="F7" s="2">
        <v>35</v>
      </c>
      <c r="G7" s="5"/>
      <c r="H7" s="5"/>
      <c r="I7" s="5"/>
      <c r="K7" s="2">
        <v>68</v>
      </c>
      <c r="L7" s="5"/>
      <c r="M7" s="5"/>
      <c r="N7" s="5"/>
    </row>
    <row r="8" spans="1:14" ht="19.899999999999999" customHeight="1" thickTop="1" thickBot="1">
      <c r="A8" s="2">
        <v>3</v>
      </c>
      <c r="B8" s="5">
        <v>1</v>
      </c>
      <c r="C8" s="5"/>
      <c r="D8" s="5" t="s">
        <v>3</v>
      </c>
      <c r="F8" s="2">
        <v>36</v>
      </c>
      <c r="G8" s="5"/>
      <c r="H8" s="5"/>
      <c r="I8" s="5"/>
      <c r="K8" s="2">
        <v>69</v>
      </c>
      <c r="L8" s="5"/>
      <c r="M8" s="5"/>
      <c r="N8" s="5"/>
    </row>
    <row r="9" spans="1:14" ht="17.25" thickTop="1" thickBot="1">
      <c r="A9" s="2">
        <v>4</v>
      </c>
      <c r="B9" s="5">
        <v>1</v>
      </c>
      <c r="C9" s="5"/>
      <c r="D9" s="5" t="s">
        <v>0</v>
      </c>
      <c r="F9" s="2">
        <v>37</v>
      </c>
      <c r="G9" s="5"/>
      <c r="H9" s="5"/>
      <c r="I9" s="5"/>
      <c r="K9" s="2">
        <v>70</v>
      </c>
      <c r="L9" s="5"/>
      <c r="M9" s="5"/>
      <c r="N9" s="5"/>
    </row>
    <row r="10" spans="1:14" ht="17.25" thickTop="1" thickBot="1">
      <c r="A10" s="2">
        <v>5</v>
      </c>
      <c r="B10" s="5">
        <v>1</v>
      </c>
      <c r="C10" s="5"/>
      <c r="D10" s="5" t="s">
        <v>2</v>
      </c>
      <c r="F10" s="2">
        <v>38</v>
      </c>
      <c r="G10" s="5"/>
      <c r="H10" s="5"/>
      <c r="I10" s="5"/>
      <c r="K10" s="2">
        <v>71</v>
      </c>
      <c r="L10" s="5"/>
      <c r="M10" s="5"/>
      <c r="N10" s="5"/>
    </row>
    <row r="11" spans="1:14" ht="17.25" thickTop="1" thickBot="1">
      <c r="A11" s="2">
        <v>6</v>
      </c>
      <c r="B11" s="5">
        <v>1</v>
      </c>
      <c r="C11" s="5"/>
      <c r="D11" s="5" t="s">
        <v>1</v>
      </c>
      <c r="F11" s="2">
        <v>39</v>
      </c>
      <c r="G11" s="5"/>
      <c r="H11" s="5"/>
      <c r="I11" s="5"/>
      <c r="K11" s="2">
        <v>72</v>
      </c>
      <c r="L11" s="5"/>
      <c r="M11" s="5"/>
      <c r="N11" s="5"/>
    </row>
    <row r="12" spans="1:14" ht="17.25" thickTop="1" thickBot="1">
      <c r="A12" s="2">
        <v>7</v>
      </c>
      <c r="B12" s="5">
        <v>1</v>
      </c>
      <c r="C12" s="5"/>
      <c r="D12" s="5" t="s">
        <v>1</v>
      </c>
      <c r="F12" s="2">
        <v>40</v>
      </c>
      <c r="G12" s="5"/>
      <c r="H12" s="5"/>
      <c r="I12" s="5"/>
      <c r="K12" s="2">
        <v>73</v>
      </c>
      <c r="L12" s="5"/>
      <c r="M12" s="5"/>
      <c r="N12" s="5"/>
    </row>
    <row r="13" spans="1:14" ht="17.25" thickTop="1" thickBot="1">
      <c r="A13" s="2">
        <v>8</v>
      </c>
      <c r="B13" s="5">
        <v>1</v>
      </c>
      <c r="C13" s="5"/>
      <c r="D13" s="5" t="s">
        <v>1</v>
      </c>
      <c r="F13" s="2">
        <v>41</v>
      </c>
      <c r="G13" s="5"/>
      <c r="H13" s="5"/>
      <c r="I13" s="5"/>
      <c r="K13" s="2">
        <v>74</v>
      </c>
      <c r="L13" s="5"/>
      <c r="M13" s="5"/>
      <c r="N13" s="5"/>
    </row>
    <row r="14" spans="1:14" ht="17.25" thickTop="1" thickBot="1">
      <c r="A14" s="2">
        <v>9</v>
      </c>
      <c r="B14" s="5">
        <v>1</v>
      </c>
      <c r="C14" s="5"/>
      <c r="D14" s="5" t="s">
        <v>2</v>
      </c>
      <c r="F14" s="2">
        <v>42</v>
      </c>
      <c r="G14" s="5"/>
      <c r="H14" s="5"/>
      <c r="I14" s="5"/>
      <c r="K14" s="2">
        <v>75</v>
      </c>
      <c r="L14" s="5"/>
      <c r="M14" s="5"/>
      <c r="N14" s="5"/>
    </row>
    <row r="15" spans="1:14" ht="17.25" thickTop="1" thickBot="1">
      <c r="A15" s="2">
        <v>10</v>
      </c>
      <c r="B15" s="5">
        <v>1</v>
      </c>
      <c r="C15" s="5"/>
      <c r="D15" s="5" t="s">
        <v>3</v>
      </c>
      <c r="F15" s="2">
        <v>43</v>
      </c>
      <c r="G15" s="5"/>
      <c r="H15" s="5"/>
      <c r="I15" s="5"/>
      <c r="K15" s="2">
        <v>76</v>
      </c>
      <c r="L15" s="5"/>
      <c r="M15" s="5"/>
      <c r="N15" s="5"/>
    </row>
    <row r="16" spans="1:14" ht="17.25" thickTop="1" thickBot="1">
      <c r="A16" s="2">
        <v>11</v>
      </c>
      <c r="B16" s="5">
        <v>1</v>
      </c>
      <c r="C16" s="5"/>
      <c r="D16" s="5" t="s">
        <v>0</v>
      </c>
      <c r="F16" s="2">
        <v>44</v>
      </c>
      <c r="G16" s="5"/>
      <c r="H16" s="5"/>
      <c r="I16" s="5"/>
      <c r="K16" s="2">
        <v>77</v>
      </c>
      <c r="L16" s="5"/>
      <c r="M16" s="5"/>
      <c r="N16" s="5"/>
    </row>
    <row r="17" spans="1:14" ht="17.25" thickTop="1" thickBot="1">
      <c r="A17" s="2">
        <v>12</v>
      </c>
      <c r="B17" s="5">
        <v>1</v>
      </c>
      <c r="C17" s="5"/>
      <c r="D17" s="5" t="s">
        <v>0</v>
      </c>
      <c r="F17" s="2">
        <v>45</v>
      </c>
      <c r="G17" s="5"/>
      <c r="H17" s="5"/>
      <c r="I17" s="5"/>
      <c r="K17" s="2">
        <v>78</v>
      </c>
      <c r="L17" s="5"/>
      <c r="M17" s="5"/>
      <c r="N17" s="5"/>
    </row>
    <row r="18" spans="1:14" ht="17.25" thickTop="1" thickBot="1">
      <c r="A18" s="2">
        <v>13</v>
      </c>
      <c r="B18" s="5">
        <v>1</v>
      </c>
      <c r="C18" s="5"/>
      <c r="D18" s="5" t="s">
        <v>1</v>
      </c>
      <c r="F18" s="2">
        <v>46</v>
      </c>
      <c r="G18" s="5"/>
      <c r="H18" s="5"/>
      <c r="I18" s="5"/>
      <c r="K18" s="2">
        <v>79</v>
      </c>
      <c r="L18" s="5"/>
      <c r="M18" s="5"/>
      <c r="N18" s="5"/>
    </row>
    <row r="19" spans="1:14" ht="17.25" thickTop="1" thickBot="1">
      <c r="A19" s="2">
        <v>14</v>
      </c>
      <c r="B19" s="5">
        <v>1</v>
      </c>
      <c r="C19" s="5"/>
      <c r="D19" s="5" t="s">
        <v>2</v>
      </c>
      <c r="F19" s="2">
        <v>47</v>
      </c>
      <c r="G19" s="5"/>
      <c r="H19" s="5"/>
      <c r="I19" s="5"/>
      <c r="K19" s="2">
        <v>80</v>
      </c>
      <c r="L19" s="5"/>
      <c r="M19" s="5"/>
      <c r="N19" s="5"/>
    </row>
    <row r="20" spans="1:14" ht="17.25" thickTop="1" thickBot="1">
      <c r="A20" s="2">
        <v>15</v>
      </c>
      <c r="B20" s="5">
        <v>1</v>
      </c>
      <c r="C20" s="5"/>
      <c r="D20" s="5" t="s">
        <v>0</v>
      </c>
      <c r="F20" s="2">
        <v>48</v>
      </c>
      <c r="G20" s="5"/>
      <c r="H20" s="5"/>
      <c r="I20" s="5"/>
      <c r="K20" s="2">
        <v>81</v>
      </c>
      <c r="L20" s="5"/>
      <c r="M20" s="5"/>
      <c r="N20" s="5"/>
    </row>
    <row r="21" spans="1:14" ht="17.25" thickTop="1" thickBot="1">
      <c r="A21" s="2">
        <v>16</v>
      </c>
      <c r="B21" s="5">
        <v>1</v>
      </c>
      <c r="C21" s="5"/>
      <c r="D21" s="5" t="s">
        <v>1</v>
      </c>
      <c r="F21" s="2">
        <v>49</v>
      </c>
      <c r="G21" s="5"/>
      <c r="H21" s="5"/>
      <c r="I21" s="5"/>
      <c r="K21" s="2">
        <v>82</v>
      </c>
      <c r="L21" s="5"/>
      <c r="M21" s="5"/>
      <c r="N21" s="5"/>
    </row>
    <row r="22" spans="1:14" ht="17.25" thickTop="1" thickBot="1">
      <c r="A22" s="2">
        <v>17</v>
      </c>
      <c r="B22" s="5">
        <v>1</v>
      </c>
      <c r="C22" s="5"/>
      <c r="D22" s="5" t="s">
        <v>0</v>
      </c>
      <c r="F22" s="2">
        <v>50</v>
      </c>
      <c r="G22" s="5"/>
      <c r="H22" s="5"/>
      <c r="I22" s="5"/>
      <c r="K22" s="2">
        <v>83</v>
      </c>
      <c r="L22" s="5"/>
      <c r="M22" s="5"/>
      <c r="N22" s="5"/>
    </row>
    <row r="23" spans="1:14" ht="17.25" thickTop="1" thickBot="1">
      <c r="A23" s="2">
        <v>18</v>
      </c>
      <c r="B23" s="5">
        <v>1</v>
      </c>
      <c r="C23" s="5"/>
      <c r="D23" s="5" t="s">
        <v>2</v>
      </c>
      <c r="F23" s="2">
        <v>51</v>
      </c>
      <c r="G23" s="5"/>
      <c r="H23" s="5"/>
      <c r="I23" s="5"/>
      <c r="K23" s="2">
        <v>84</v>
      </c>
      <c r="L23" s="5"/>
      <c r="M23" s="5"/>
      <c r="N23" s="5"/>
    </row>
    <row r="24" spans="1:14" ht="17.25" thickTop="1" thickBot="1">
      <c r="A24" s="2">
        <v>19</v>
      </c>
      <c r="B24" s="5">
        <v>1</v>
      </c>
      <c r="C24" s="5"/>
      <c r="D24" s="5" t="s">
        <v>1</v>
      </c>
      <c r="F24" s="2">
        <v>52</v>
      </c>
      <c r="G24" s="5"/>
      <c r="H24" s="5"/>
      <c r="I24" s="5"/>
      <c r="K24" s="2">
        <v>85</v>
      </c>
      <c r="L24" s="5"/>
      <c r="M24" s="5"/>
      <c r="N24" s="5"/>
    </row>
    <row r="25" spans="1:14" ht="17.25" thickTop="1" thickBot="1">
      <c r="A25" s="2">
        <v>20</v>
      </c>
      <c r="B25" s="5">
        <v>1</v>
      </c>
      <c r="C25" s="5"/>
      <c r="D25" s="5" t="s">
        <v>2</v>
      </c>
      <c r="F25" s="2">
        <v>53</v>
      </c>
      <c r="G25" s="5"/>
      <c r="H25" s="5"/>
      <c r="I25" s="5"/>
      <c r="K25" s="2">
        <v>86</v>
      </c>
      <c r="L25" s="5"/>
      <c r="M25" s="5"/>
      <c r="N25" s="5"/>
    </row>
    <row r="26" spans="1:14" ht="17.25" thickTop="1" thickBot="1">
      <c r="A26" s="2">
        <v>21</v>
      </c>
      <c r="B26" s="5">
        <v>1</v>
      </c>
      <c r="C26" s="5"/>
      <c r="D26" s="5" t="s">
        <v>1</v>
      </c>
      <c r="F26" s="2">
        <v>54</v>
      </c>
      <c r="G26" s="5"/>
      <c r="H26" s="5"/>
      <c r="I26" s="5"/>
      <c r="K26" s="2">
        <v>87</v>
      </c>
      <c r="L26" s="5"/>
      <c r="M26" s="5"/>
      <c r="N26" s="5"/>
    </row>
    <row r="27" spans="1:14" ht="17.25" thickTop="1" thickBot="1">
      <c r="A27" s="2">
        <v>22</v>
      </c>
      <c r="B27" s="5">
        <v>1</v>
      </c>
      <c r="C27" s="5"/>
      <c r="D27" s="5" t="s">
        <v>2</v>
      </c>
      <c r="F27" s="2">
        <v>55</v>
      </c>
      <c r="G27" s="5"/>
      <c r="H27" s="5"/>
      <c r="I27" s="5"/>
      <c r="K27" s="2">
        <v>88</v>
      </c>
      <c r="L27" s="5"/>
      <c r="M27" s="5"/>
      <c r="N27" s="5"/>
    </row>
    <row r="28" spans="1:14" ht="17.25" thickTop="1" thickBot="1">
      <c r="A28" s="2">
        <v>23</v>
      </c>
      <c r="B28" s="5">
        <v>1</v>
      </c>
      <c r="C28" s="5"/>
      <c r="D28" s="5" t="s">
        <v>3</v>
      </c>
      <c r="F28" s="2">
        <v>56</v>
      </c>
      <c r="G28" s="5"/>
      <c r="H28" s="5"/>
      <c r="I28" s="5"/>
      <c r="K28" s="2">
        <v>89</v>
      </c>
      <c r="L28" s="5"/>
      <c r="M28" s="5"/>
      <c r="N28" s="5"/>
    </row>
    <row r="29" spans="1:14" ht="17.25" thickTop="1" thickBot="1">
      <c r="A29" s="2">
        <v>24</v>
      </c>
      <c r="B29" s="5">
        <v>1</v>
      </c>
      <c r="C29" s="5"/>
      <c r="D29" s="5" t="s">
        <v>0</v>
      </c>
      <c r="F29" s="2"/>
      <c r="G29" s="5"/>
      <c r="H29" s="5"/>
      <c r="I29" s="5"/>
      <c r="K29" s="2"/>
      <c r="L29" s="5"/>
      <c r="M29" s="5"/>
      <c r="N29" s="5"/>
    </row>
    <row r="30" spans="1:14" ht="17.25" thickTop="1" thickBot="1">
      <c r="A30" s="2">
        <v>25</v>
      </c>
      <c r="B30" s="5">
        <v>1</v>
      </c>
      <c r="C30" s="5"/>
      <c r="D30" s="5" t="s">
        <v>3</v>
      </c>
      <c r="F30" s="2"/>
      <c r="G30" s="5"/>
      <c r="H30" s="5"/>
      <c r="I30" s="5"/>
      <c r="K30" s="2"/>
      <c r="L30" s="5"/>
      <c r="M30" s="5"/>
      <c r="N30" s="5"/>
    </row>
    <row r="31" spans="1:14" ht="17.25" thickTop="1" thickBot="1">
      <c r="A31" s="2">
        <v>26</v>
      </c>
      <c r="B31" s="5">
        <v>1</v>
      </c>
      <c r="C31" s="5"/>
      <c r="D31" s="5" t="s">
        <v>0</v>
      </c>
      <c r="F31" s="2"/>
      <c r="G31" s="5"/>
      <c r="H31" s="5"/>
      <c r="I31" s="5"/>
      <c r="K31" s="2"/>
      <c r="L31" s="5"/>
      <c r="M31" s="5"/>
      <c r="N31" s="5"/>
    </row>
    <row r="32" spans="1:14" ht="17.25" thickTop="1" thickBot="1">
      <c r="A32" s="2">
        <v>27</v>
      </c>
      <c r="B32" s="5">
        <v>1</v>
      </c>
      <c r="C32" s="5"/>
      <c r="D32" s="5" t="s">
        <v>2</v>
      </c>
      <c r="F32" s="2"/>
      <c r="G32" s="5"/>
      <c r="H32" s="5"/>
      <c r="I32" s="5"/>
      <c r="K32" s="2"/>
      <c r="L32" s="5"/>
      <c r="M32" s="5"/>
      <c r="N32" s="5"/>
    </row>
    <row r="33" spans="1:14" ht="17.25" thickTop="1" thickBot="1">
      <c r="A33" s="2">
        <v>28</v>
      </c>
      <c r="B33" s="5">
        <v>1</v>
      </c>
      <c r="C33" s="5"/>
      <c r="D33" s="5" t="s">
        <v>0</v>
      </c>
      <c r="F33" s="2"/>
      <c r="G33" s="5"/>
      <c r="H33" s="5"/>
      <c r="I33" s="5"/>
      <c r="K33" s="2"/>
      <c r="L33" s="5"/>
      <c r="M33" s="5"/>
      <c r="N33" s="5"/>
    </row>
    <row r="34" spans="1:14" ht="17.25" thickTop="1" thickBot="1">
      <c r="A34" s="2">
        <v>29</v>
      </c>
      <c r="B34" s="5">
        <v>1</v>
      </c>
      <c r="C34" s="5"/>
      <c r="D34" s="5" t="s">
        <v>0</v>
      </c>
      <c r="F34" s="2"/>
      <c r="G34" s="5"/>
      <c r="H34" s="5"/>
      <c r="I34" s="5"/>
      <c r="K34" s="2"/>
      <c r="L34" s="5"/>
      <c r="M34" s="5"/>
      <c r="N34" s="5"/>
    </row>
    <row r="35" spans="1:14" ht="17.25" thickTop="1" thickBot="1">
      <c r="A35" s="2">
        <v>30</v>
      </c>
      <c r="B35" s="5">
        <v>1</v>
      </c>
      <c r="C35" s="5"/>
      <c r="D35" s="5" t="s">
        <v>0</v>
      </c>
      <c r="F35" s="2"/>
      <c r="G35" s="5"/>
      <c r="H35" s="5"/>
      <c r="I35" s="5"/>
      <c r="K35" s="2"/>
      <c r="L35" s="5"/>
      <c r="M35" s="5"/>
      <c r="N35" s="5"/>
    </row>
    <row r="36" spans="1:14" ht="17.25" thickTop="1" thickBot="1">
      <c r="A36" s="2">
        <v>31</v>
      </c>
      <c r="B36" s="5">
        <v>1</v>
      </c>
      <c r="C36" s="5"/>
      <c r="D36" s="5" t="s">
        <v>2</v>
      </c>
      <c r="F36" s="2"/>
      <c r="G36" s="5"/>
      <c r="H36" s="5"/>
      <c r="I36" s="5"/>
      <c r="K36" s="2"/>
      <c r="L36" s="5"/>
      <c r="M36" s="5"/>
      <c r="N36" s="5"/>
    </row>
    <row r="37" spans="1:14" ht="17.25" thickTop="1" thickBot="1">
      <c r="A37" s="2">
        <v>32</v>
      </c>
      <c r="B37" s="5">
        <v>1</v>
      </c>
      <c r="C37" s="5"/>
      <c r="D37" s="5" t="s">
        <v>1</v>
      </c>
      <c r="F37" s="2"/>
      <c r="G37" s="5"/>
      <c r="H37" s="5"/>
      <c r="I37" s="5"/>
      <c r="K37" s="2"/>
      <c r="L37" s="5"/>
      <c r="M37" s="5"/>
      <c r="N37" s="5"/>
    </row>
    <row r="38" spans="1:14" ht="17.25" thickTop="1" thickBot="1">
      <c r="A38" s="2">
        <v>33</v>
      </c>
      <c r="B38" s="5">
        <v>1</v>
      </c>
      <c r="C38" s="5"/>
      <c r="D38" s="5" t="s">
        <v>1</v>
      </c>
      <c r="F38" s="2"/>
      <c r="G38" s="5"/>
      <c r="H38" s="5"/>
      <c r="I38" s="5"/>
      <c r="K38" s="2"/>
      <c r="L38" s="5"/>
      <c r="M38" s="5"/>
      <c r="N38" s="5"/>
    </row>
    <row r="39" spans="1:14" ht="17.25" thickTop="1" thickBot="1">
      <c r="A39" s="2">
        <v>34</v>
      </c>
      <c r="B39" s="5">
        <v>1</v>
      </c>
      <c r="C39" s="5"/>
      <c r="D39" s="5" t="s">
        <v>3</v>
      </c>
      <c r="F39" s="2"/>
      <c r="G39" s="5"/>
      <c r="H39" s="5"/>
      <c r="I39" s="5"/>
      <c r="K39" s="2"/>
      <c r="L39" s="5"/>
      <c r="M39" s="5"/>
      <c r="N39" s="5"/>
    </row>
    <row r="40" spans="1:14" ht="17.25" thickTop="1" thickBot="1">
      <c r="A40" s="2">
        <v>35</v>
      </c>
      <c r="B40" s="5">
        <v>1</v>
      </c>
      <c r="C40" s="5"/>
      <c r="D40" s="5" t="s">
        <v>1</v>
      </c>
      <c r="F40" s="2"/>
      <c r="G40" s="5"/>
      <c r="H40" s="5"/>
      <c r="I40" s="5"/>
      <c r="K40" s="2"/>
      <c r="L40" s="5"/>
      <c r="M40" s="5"/>
      <c r="N40" s="5"/>
    </row>
    <row r="41" spans="1:14" ht="17.25" thickTop="1" thickBot="1">
      <c r="A41" s="2">
        <v>36</v>
      </c>
      <c r="B41" s="5">
        <v>1</v>
      </c>
      <c r="C41" s="5"/>
      <c r="D41" s="5" t="s">
        <v>0</v>
      </c>
      <c r="F41" s="2"/>
      <c r="G41" s="5"/>
      <c r="H41" s="5"/>
      <c r="I41" s="5"/>
      <c r="K41" s="2"/>
      <c r="L41" s="5"/>
      <c r="M41" s="5"/>
      <c r="N41" s="5"/>
    </row>
    <row r="42" spans="1:14" ht="17.25" thickTop="1" thickBot="1">
      <c r="A42" s="2">
        <v>37</v>
      </c>
      <c r="B42" s="5">
        <v>1</v>
      </c>
      <c r="C42" s="5"/>
      <c r="D42" s="5" t="s">
        <v>3</v>
      </c>
      <c r="F42" s="2"/>
      <c r="G42" s="5"/>
      <c r="H42" s="5"/>
      <c r="I42" s="5"/>
      <c r="K42" s="2"/>
      <c r="L42" s="5"/>
      <c r="M42" s="5"/>
      <c r="N42" s="5"/>
    </row>
    <row r="43" spans="1:14" ht="17.25" thickTop="1" thickBot="1">
      <c r="A43" s="2">
        <v>38</v>
      </c>
      <c r="B43" s="5">
        <v>1</v>
      </c>
      <c r="C43" s="5"/>
      <c r="D43" s="5" t="s">
        <v>2</v>
      </c>
      <c r="F43" s="2">
        <v>57</v>
      </c>
      <c r="G43" s="5"/>
      <c r="H43" s="5"/>
      <c r="I43" s="5"/>
      <c r="K43" s="2">
        <v>90</v>
      </c>
      <c r="L43" s="5"/>
      <c r="M43" s="5"/>
      <c r="N43" s="5"/>
    </row>
    <row r="44" spans="1:14" ht="17.25" thickTop="1" thickBot="1">
      <c r="A44" s="2">
        <v>39</v>
      </c>
      <c r="B44" s="5">
        <v>1</v>
      </c>
      <c r="C44" s="5"/>
      <c r="D44" s="5" t="s">
        <v>1</v>
      </c>
      <c r="F44" s="2">
        <v>58</v>
      </c>
      <c r="G44" s="5"/>
      <c r="H44" s="5"/>
      <c r="I44" s="5"/>
      <c r="K44" s="2">
        <v>91</v>
      </c>
      <c r="L44" s="5"/>
      <c r="M44" s="5"/>
      <c r="N44" s="5"/>
    </row>
    <row r="45" spans="1:14" ht="17.25" thickTop="1" thickBot="1">
      <c r="A45" s="2">
        <v>40</v>
      </c>
      <c r="B45" s="5">
        <v>1</v>
      </c>
      <c r="C45" s="5"/>
      <c r="D45" s="5" t="s">
        <v>1</v>
      </c>
      <c r="F45" s="2">
        <v>59</v>
      </c>
      <c r="G45" s="5"/>
      <c r="H45" s="5"/>
      <c r="I45" s="5"/>
      <c r="K45" s="2">
        <v>92</v>
      </c>
      <c r="L45" s="5"/>
      <c r="M45" s="5"/>
      <c r="N45" s="5"/>
    </row>
    <row r="46" spans="1:14" ht="17.25" thickTop="1" thickBot="1">
      <c r="A46" s="2">
        <v>41</v>
      </c>
      <c r="B46" s="5">
        <v>1</v>
      </c>
      <c r="C46" s="5"/>
      <c r="D46" s="5" t="s">
        <v>3</v>
      </c>
      <c r="F46" s="2">
        <v>60</v>
      </c>
      <c r="G46" s="5"/>
      <c r="H46" s="5"/>
      <c r="I46" s="5"/>
      <c r="K46" s="2">
        <v>93</v>
      </c>
      <c r="L46" s="5"/>
      <c r="M46" s="5"/>
      <c r="N46" s="5"/>
    </row>
    <row r="47" spans="1:14" ht="17.25" thickTop="1" thickBot="1">
      <c r="A47" s="2">
        <v>42</v>
      </c>
      <c r="B47" s="5">
        <v>1</v>
      </c>
      <c r="C47" s="5"/>
      <c r="D47" s="5" t="s">
        <v>0</v>
      </c>
      <c r="F47" s="2">
        <v>61</v>
      </c>
      <c r="G47" s="5"/>
      <c r="H47" s="5"/>
      <c r="I47" s="5"/>
      <c r="K47" s="2">
        <v>94</v>
      </c>
      <c r="L47" s="5"/>
      <c r="M47" s="5"/>
      <c r="N47" s="5"/>
    </row>
    <row r="48" spans="1:14" ht="17.25" thickTop="1" thickBot="1">
      <c r="A48" s="2">
        <v>43</v>
      </c>
      <c r="B48" s="5">
        <v>1</v>
      </c>
      <c r="C48" s="5"/>
      <c r="D48" s="5" t="s">
        <v>1</v>
      </c>
      <c r="F48" s="2">
        <v>62</v>
      </c>
      <c r="G48" s="5"/>
      <c r="H48" s="5"/>
      <c r="I48" s="5"/>
      <c r="K48" s="2">
        <v>95</v>
      </c>
      <c r="L48" s="5"/>
      <c r="M48" s="5"/>
      <c r="N48" s="5"/>
    </row>
    <row r="49" spans="1:14" ht="17.25" thickTop="1" thickBot="1">
      <c r="A49" s="2">
        <v>44</v>
      </c>
      <c r="B49" s="5">
        <v>1</v>
      </c>
      <c r="C49" s="5"/>
      <c r="D49" s="5" t="s">
        <v>1</v>
      </c>
      <c r="F49" s="2">
        <v>63</v>
      </c>
      <c r="G49" s="5"/>
      <c r="H49" s="5"/>
      <c r="I49" s="5"/>
      <c r="K49" s="2">
        <v>96</v>
      </c>
      <c r="L49" s="5"/>
      <c r="M49" s="5"/>
      <c r="N49" s="5"/>
    </row>
    <row r="50" spans="1:14" ht="17.25" thickTop="1" thickBot="1">
      <c r="A50" s="2">
        <v>45</v>
      </c>
      <c r="B50" s="5">
        <v>1</v>
      </c>
      <c r="C50" s="5"/>
      <c r="D50" s="5" t="s">
        <v>1</v>
      </c>
      <c r="F50" s="2">
        <v>64</v>
      </c>
      <c r="G50" s="5"/>
      <c r="H50" s="5"/>
      <c r="I50" s="5"/>
      <c r="K50" s="2">
        <v>97</v>
      </c>
      <c r="L50" s="5"/>
      <c r="M50" s="5"/>
      <c r="N50" s="5"/>
    </row>
    <row r="51" spans="1:14" ht="17.25" thickTop="1" thickBot="1">
      <c r="A51" s="2">
        <v>46</v>
      </c>
      <c r="B51" s="5">
        <v>1</v>
      </c>
      <c r="C51" s="5"/>
      <c r="D51" s="5" t="s">
        <v>1</v>
      </c>
      <c r="F51" s="2">
        <v>65</v>
      </c>
      <c r="G51" s="5"/>
      <c r="H51" s="5"/>
      <c r="I51" s="5"/>
      <c r="K51" s="2">
        <v>98</v>
      </c>
      <c r="L51" s="5"/>
      <c r="M51" s="5"/>
      <c r="N51" s="5"/>
    </row>
    <row r="52" spans="1:14" ht="17.25" thickTop="1" thickBot="1">
      <c r="A52" s="2">
        <v>47</v>
      </c>
      <c r="B52" s="5">
        <v>1</v>
      </c>
      <c r="C52" s="5"/>
      <c r="D52" s="5" t="s">
        <v>2</v>
      </c>
      <c r="F52" s="2">
        <v>66</v>
      </c>
      <c r="G52" s="5"/>
      <c r="H52" s="5"/>
      <c r="I52" s="5"/>
      <c r="K52" s="2">
        <v>99</v>
      </c>
      <c r="L52" s="5"/>
      <c r="M52" s="5"/>
      <c r="N52" s="5"/>
    </row>
    <row r="53" spans="1:14" ht="17.25" thickTop="1" thickBot="1">
      <c r="A53" s="2">
        <v>48</v>
      </c>
      <c r="B53" s="5">
        <v>1</v>
      </c>
      <c r="C53" s="5"/>
      <c r="D53" s="5" t="s">
        <v>1</v>
      </c>
      <c r="K53" s="3">
        <v>100</v>
      </c>
      <c r="L53" s="5"/>
      <c r="M53" s="5"/>
      <c r="N53" s="5"/>
    </row>
    <row r="54" spans="1:14" ht="17.25" thickTop="1" thickBot="1">
      <c r="A54" s="2">
        <v>49</v>
      </c>
      <c r="B54" s="5">
        <v>1</v>
      </c>
      <c r="C54" s="5"/>
      <c r="D54" s="5" t="s">
        <v>2</v>
      </c>
    </row>
    <row r="55" spans="1:14" ht="17.25" thickTop="1" thickBot="1">
      <c r="A55" s="2">
        <v>50</v>
      </c>
      <c r="B55" s="5">
        <v>1</v>
      </c>
      <c r="C55" s="5"/>
      <c r="D55" s="5" t="s">
        <v>0</v>
      </c>
    </row>
    <row r="56" spans="1:14" ht="17.25" thickTop="1" thickBot="1">
      <c r="A56" s="2">
        <v>51</v>
      </c>
      <c r="B56" s="5">
        <v>1</v>
      </c>
      <c r="C56" s="5"/>
      <c r="D56" s="5" t="s">
        <v>0</v>
      </c>
    </row>
    <row r="57" spans="1:14" ht="15.75" thickTop="1"/>
  </sheetData>
  <sheetProtection selectLockedCells="1" selectUnlockedCells="1"/>
  <mergeCells count="1">
    <mergeCell ref="A1:N3"/>
  </mergeCells>
  <pageMargins left="7.874015748031496E-2" right="7.874015748031496E-2" top="7.874015748031496E-2" bottom="7.874015748031496E-2" header="0.31496062992125984" footer="0.31496062992125984"/>
  <pageSetup paperSize="9" scale="93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8"/>
  <sheetViews>
    <sheetView tabSelected="1" zoomScale="115" zoomScaleNormal="115" workbookViewId="0">
      <selection activeCell="G145" sqref="G145"/>
    </sheetView>
  </sheetViews>
  <sheetFormatPr defaultColWidth="8.85546875" defaultRowHeight="15"/>
  <cols>
    <col min="1" max="1" width="11.28515625" style="40" customWidth="1"/>
    <col min="2" max="2" width="9.7109375" style="40" customWidth="1"/>
    <col min="3" max="3" width="12.85546875" style="40" customWidth="1"/>
    <col min="4" max="4" width="9.7109375" style="40" customWidth="1"/>
    <col min="5" max="5" width="16.7109375" style="40" customWidth="1"/>
    <col min="6" max="6" width="8.85546875" style="40" hidden="1" customWidth="1"/>
    <col min="7" max="7" width="12.28515625" style="40" bestFit="1" customWidth="1"/>
    <col min="8" max="8" width="8.85546875" style="40"/>
    <col min="9" max="9" width="7" style="40" customWidth="1"/>
    <col min="10" max="16" width="8.85546875" style="40" customWidth="1"/>
    <col min="17" max="16384" width="8.85546875" style="40"/>
  </cols>
  <sheetData>
    <row r="1" spans="1:16" ht="15.75" thickBot="1">
      <c r="A1" s="81"/>
      <c r="B1" s="81"/>
      <c r="C1" s="81"/>
      <c r="D1" s="81"/>
      <c r="E1" s="81"/>
      <c r="F1" s="81"/>
      <c r="G1" s="81"/>
      <c r="H1" s="81"/>
      <c r="I1" s="81"/>
    </row>
    <row r="2" spans="1:16" ht="16.5" thickBot="1">
      <c r="A2" s="41" t="s">
        <v>7</v>
      </c>
      <c r="B2" s="41" t="s">
        <v>8</v>
      </c>
      <c r="C2" s="41" t="s">
        <v>29</v>
      </c>
      <c r="D2" s="41" t="s">
        <v>14</v>
      </c>
      <c r="E2" s="41" t="s">
        <v>30</v>
      </c>
      <c r="F2" s="42"/>
      <c r="G2" s="42" t="s">
        <v>9</v>
      </c>
      <c r="H2" s="82" t="s">
        <v>10</v>
      </c>
      <c r="I2" s="83"/>
      <c r="N2" s="43"/>
    </row>
    <row r="3" spans="1:16" ht="16.5" thickBot="1">
      <c r="A3" s="44" t="s">
        <v>267</v>
      </c>
      <c r="B3" s="45" t="s">
        <v>266</v>
      </c>
      <c r="C3" s="45">
        <v>2</v>
      </c>
      <c r="D3" s="45">
        <f>C124</f>
        <v>51</v>
      </c>
      <c r="E3" s="46">
        <v>2023</v>
      </c>
      <c r="F3" s="42"/>
      <c r="G3" s="47" t="s">
        <v>268</v>
      </c>
      <c r="H3" s="82" t="s">
        <v>25</v>
      </c>
      <c r="I3" s="83"/>
      <c r="N3" s="48"/>
    </row>
    <row r="4" spans="1:16" ht="21.75" thickTop="1" thickBot="1">
      <c r="A4" s="84"/>
      <c r="B4" s="91" t="s">
        <v>20</v>
      </c>
      <c r="C4" s="92"/>
      <c r="D4" s="92"/>
      <c r="E4" s="92"/>
      <c r="F4" s="92"/>
      <c r="G4" s="93"/>
      <c r="H4" s="86"/>
      <c r="I4" s="84"/>
      <c r="J4" s="49"/>
      <c r="K4" s="49"/>
      <c r="L4" s="49"/>
      <c r="M4" s="49"/>
      <c r="N4" s="49"/>
      <c r="O4" s="49"/>
    </row>
    <row r="5" spans="1:16" s="52" customFormat="1" ht="64.5" thickTop="1" thickBot="1">
      <c r="A5" s="85"/>
      <c r="B5" s="50" t="s">
        <v>4</v>
      </c>
      <c r="C5" s="50" t="s">
        <v>12</v>
      </c>
      <c r="D5" s="50" t="s">
        <v>18</v>
      </c>
      <c r="E5" s="50" t="s">
        <v>5</v>
      </c>
      <c r="F5" s="50" t="s">
        <v>6</v>
      </c>
      <c r="G5" s="51" t="s">
        <v>11</v>
      </c>
      <c r="H5" s="87"/>
      <c r="I5" s="88"/>
      <c r="J5" s="49"/>
      <c r="K5" s="49"/>
      <c r="L5" s="49"/>
      <c r="M5" s="49"/>
      <c r="N5" s="49"/>
      <c r="O5" s="49"/>
    </row>
    <row r="6" spans="1:16" ht="17.25" thickTop="1" thickBot="1">
      <c r="A6" s="85"/>
      <c r="B6" s="53">
        <v>1</v>
      </c>
      <c r="C6" s="54">
        <f>IF('After Exam Data Entry'!B6="", "", 'After Exam Data Entry'!B6)</f>
        <v>1</v>
      </c>
      <c r="D6" s="54">
        <f>IF(C6="", "", IF('After Exam Data Entry'!C6="", 0, 'After Exam Data Entry'!C6))</f>
        <v>0</v>
      </c>
      <c r="E6" s="54" t="str">
        <f>IF('MCQ TEST SHEET'!G7="", "", 'MCQ TEST SHEET'!G7)</f>
        <v/>
      </c>
      <c r="F6" s="54" t="str">
        <f>IF('After Exam Data Entry'!D6="", "", 'After Exam Data Entry'!D6)</f>
        <v>C</v>
      </c>
      <c r="G6" s="55" t="str">
        <f t="shared" ref="G6:G69" si="0">IF(F6="", "", IF(E6="", "", IF(E6=F6, C6, D6)))</f>
        <v/>
      </c>
      <c r="H6" s="87"/>
      <c r="I6" s="88"/>
    </row>
    <row r="7" spans="1:16" ht="17.25" thickTop="1" thickBot="1">
      <c r="A7" s="85"/>
      <c r="B7" s="53">
        <v>2</v>
      </c>
      <c r="C7" s="54">
        <f>IF('After Exam Data Entry'!B7="", "", 'After Exam Data Entry'!B7)</f>
        <v>1</v>
      </c>
      <c r="D7" s="54">
        <f>IF(C7="", "", IF('After Exam Data Entry'!C7="", 0, 'After Exam Data Entry'!C7))</f>
        <v>0</v>
      </c>
      <c r="E7" s="54" t="str">
        <f>IF('MCQ TEST SHEET'!G8="", "", 'MCQ TEST SHEET'!G8)</f>
        <v/>
      </c>
      <c r="F7" s="54" t="str">
        <f>IF('After Exam Data Entry'!D7="", "", 'After Exam Data Entry'!D7)</f>
        <v>A</v>
      </c>
      <c r="G7" s="55" t="str">
        <f t="shared" si="0"/>
        <v/>
      </c>
      <c r="H7" s="87"/>
      <c r="I7" s="88"/>
      <c r="P7" s="56"/>
    </row>
    <row r="8" spans="1:16" ht="17.25" thickTop="1" thickBot="1">
      <c r="A8" s="85"/>
      <c r="B8" s="53">
        <v>3</v>
      </c>
      <c r="C8" s="54">
        <f>IF('After Exam Data Entry'!B8="", "", 'After Exam Data Entry'!B8)</f>
        <v>1</v>
      </c>
      <c r="D8" s="54">
        <f>IF(C8="", "", IF('After Exam Data Entry'!C8="", 0, 'After Exam Data Entry'!C8))</f>
        <v>0</v>
      </c>
      <c r="E8" s="54" t="str">
        <f>IF('MCQ TEST SHEET'!G9="", "", 'MCQ TEST SHEET'!G9)</f>
        <v/>
      </c>
      <c r="F8" s="54" t="str">
        <f>IF('After Exam Data Entry'!D8="", "", 'After Exam Data Entry'!D8)</f>
        <v>D</v>
      </c>
      <c r="G8" s="55" t="str">
        <f t="shared" si="0"/>
        <v/>
      </c>
      <c r="H8" s="87"/>
      <c r="I8" s="88"/>
    </row>
    <row r="9" spans="1:16" ht="17.25" thickTop="1" thickBot="1">
      <c r="A9" s="85"/>
      <c r="B9" s="53">
        <v>4</v>
      </c>
      <c r="C9" s="54">
        <f>IF('After Exam Data Entry'!B9="", "", 'After Exam Data Entry'!B9)</f>
        <v>1</v>
      </c>
      <c r="D9" s="54">
        <f>IF(C9="", "", IF('After Exam Data Entry'!C9="", 0, 'After Exam Data Entry'!C9))</f>
        <v>0</v>
      </c>
      <c r="E9" s="54" t="str">
        <f>IF('MCQ TEST SHEET'!G10="", "", 'MCQ TEST SHEET'!G10)</f>
        <v/>
      </c>
      <c r="F9" s="54" t="str">
        <f>IF('After Exam Data Entry'!D9="", "", 'After Exam Data Entry'!D9)</f>
        <v>A</v>
      </c>
      <c r="G9" s="55" t="str">
        <f t="shared" si="0"/>
        <v/>
      </c>
      <c r="H9" s="87"/>
      <c r="I9" s="88"/>
    </row>
    <row r="10" spans="1:16" ht="17.25" thickTop="1" thickBot="1">
      <c r="A10" s="85"/>
      <c r="B10" s="53">
        <v>5</v>
      </c>
      <c r="C10" s="54">
        <f>IF('After Exam Data Entry'!B10="", "", 'After Exam Data Entry'!B10)</f>
        <v>1</v>
      </c>
      <c r="D10" s="54">
        <f>IF(C10="", "", IF('After Exam Data Entry'!C10="", 0, 'After Exam Data Entry'!C10))</f>
        <v>0</v>
      </c>
      <c r="E10" s="54" t="str">
        <f>IF('MCQ TEST SHEET'!G11="", "", 'MCQ TEST SHEET'!G11)</f>
        <v/>
      </c>
      <c r="F10" s="54" t="str">
        <f>IF('After Exam Data Entry'!D10="", "", 'After Exam Data Entry'!D10)</f>
        <v>C</v>
      </c>
      <c r="G10" s="55" t="str">
        <f t="shared" si="0"/>
        <v/>
      </c>
      <c r="H10" s="87"/>
      <c r="I10" s="88"/>
    </row>
    <row r="11" spans="1:16" ht="17.25" thickTop="1" thickBot="1">
      <c r="A11" s="85"/>
      <c r="B11" s="53">
        <v>6</v>
      </c>
      <c r="C11" s="54">
        <f>IF('After Exam Data Entry'!B11="", "", 'After Exam Data Entry'!B11)</f>
        <v>1</v>
      </c>
      <c r="D11" s="54">
        <f>IF(C11="", "", IF('After Exam Data Entry'!C11="", 0, 'After Exam Data Entry'!C11))</f>
        <v>0</v>
      </c>
      <c r="E11" s="54" t="str">
        <f>IF('MCQ TEST SHEET'!G12="", "", 'MCQ TEST SHEET'!G12)</f>
        <v/>
      </c>
      <c r="F11" s="54" t="str">
        <f>IF('After Exam Data Entry'!D11="", "", 'After Exam Data Entry'!D11)</f>
        <v>B</v>
      </c>
      <c r="G11" s="55" t="str">
        <f t="shared" si="0"/>
        <v/>
      </c>
      <c r="H11" s="87"/>
      <c r="I11" s="88"/>
    </row>
    <row r="12" spans="1:16" ht="17.25" thickTop="1" thickBot="1">
      <c r="A12" s="85"/>
      <c r="B12" s="53">
        <v>7</v>
      </c>
      <c r="C12" s="54">
        <f>IF('After Exam Data Entry'!B12="", "", 'After Exam Data Entry'!B12)</f>
        <v>1</v>
      </c>
      <c r="D12" s="54">
        <f>IF(C12="", "", IF('After Exam Data Entry'!C12="", 0, 'After Exam Data Entry'!C12))</f>
        <v>0</v>
      </c>
      <c r="E12" s="54" t="str">
        <f>IF('MCQ TEST SHEET'!G13="", "", 'MCQ TEST SHEET'!G13)</f>
        <v/>
      </c>
      <c r="F12" s="54" t="str">
        <f>IF('After Exam Data Entry'!D12="", "", 'After Exam Data Entry'!D12)</f>
        <v>B</v>
      </c>
      <c r="G12" s="55" t="str">
        <f t="shared" si="0"/>
        <v/>
      </c>
      <c r="H12" s="87"/>
      <c r="I12" s="88"/>
    </row>
    <row r="13" spans="1:16" ht="17.25" thickTop="1" thickBot="1">
      <c r="A13" s="85"/>
      <c r="B13" s="53">
        <v>8</v>
      </c>
      <c r="C13" s="54">
        <f>IF('After Exam Data Entry'!B13="", "", 'After Exam Data Entry'!B13)</f>
        <v>1</v>
      </c>
      <c r="D13" s="54">
        <f>IF(C13="", "", IF('After Exam Data Entry'!C13="", 0, 'After Exam Data Entry'!C13))</f>
        <v>0</v>
      </c>
      <c r="E13" s="54" t="str">
        <f>IF('MCQ TEST SHEET'!G14="", "", 'MCQ TEST SHEET'!G14)</f>
        <v/>
      </c>
      <c r="F13" s="54" t="str">
        <f>IF('After Exam Data Entry'!D13="", "", 'After Exam Data Entry'!D13)</f>
        <v>B</v>
      </c>
      <c r="G13" s="55" t="str">
        <f t="shared" si="0"/>
        <v/>
      </c>
      <c r="H13" s="87"/>
      <c r="I13" s="88"/>
    </row>
    <row r="14" spans="1:16" ht="17.25" thickTop="1" thickBot="1">
      <c r="A14" s="85"/>
      <c r="B14" s="53">
        <v>9</v>
      </c>
      <c r="C14" s="54">
        <f>IF('After Exam Data Entry'!B14="", "", 'After Exam Data Entry'!B14)</f>
        <v>1</v>
      </c>
      <c r="D14" s="54">
        <f>IF(C14="", "", IF('After Exam Data Entry'!C14="", 0, 'After Exam Data Entry'!C14))</f>
        <v>0</v>
      </c>
      <c r="E14" s="54" t="str">
        <f>IF('MCQ TEST SHEET'!G15="", "", 'MCQ TEST SHEET'!G15)</f>
        <v/>
      </c>
      <c r="F14" s="54" t="str">
        <f>IF('After Exam Data Entry'!D14="", "", 'After Exam Data Entry'!D14)</f>
        <v>C</v>
      </c>
      <c r="G14" s="55" t="str">
        <f t="shared" si="0"/>
        <v/>
      </c>
      <c r="H14" s="87"/>
      <c r="I14" s="88"/>
    </row>
    <row r="15" spans="1:16" ht="17.25" thickTop="1" thickBot="1">
      <c r="A15" s="85"/>
      <c r="B15" s="53">
        <v>10</v>
      </c>
      <c r="C15" s="54">
        <f>IF('After Exam Data Entry'!B15="", "", 'After Exam Data Entry'!B15)</f>
        <v>1</v>
      </c>
      <c r="D15" s="54">
        <f>IF(C15="", "", IF('After Exam Data Entry'!C15="", 0, 'After Exam Data Entry'!C15))</f>
        <v>0</v>
      </c>
      <c r="E15" s="54" t="str">
        <f>IF('MCQ TEST SHEET'!G16="", "", 'MCQ TEST SHEET'!G16)</f>
        <v/>
      </c>
      <c r="F15" s="54" t="str">
        <f>IF('After Exam Data Entry'!D15="", "", 'After Exam Data Entry'!D15)</f>
        <v>D</v>
      </c>
      <c r="G15" s="55" t="str">
        <f t="shared" si="0"/>
        <v/>
      </c>
      <c r="H15" s="87"/>
      <c r="I15" s="88"/>
    </row>
    <row r="16" spans="1:16" ht="17.25" thickTop="1" thickBot="1">
      <c r="A16" s="85"/>
      <c r="B16" s="53">
        <v>11</v>
      </c>
      <c r="C16" s="54">
        <f>IF('After Exam Data Entry'!B16="", "", 'After Exam Data Entry'!B16)</f>
        <v>1</v>
      </c>
      <c r="D16" s="54">
        <f>IF(C16="", "", IF('After Exam Data Entry'!C16="", 0, 'After Exam Data Entry'!C16))</f>
        <v>0</v>
      </c>
      <c r="E16" s="54" t="str">
        <f>IF('MCQ TEST SHEET'!G17="", "", 'MCQ TEST SHEET'!G17)</f>
        <v/>
      </c>
      <c r="F16" s="54" t="str">
        <f>IF('After Exam Data Entry'!D16="", "", 'After Exam Data Entry'!D16)</f>
        <v>A</v>
      </c>
      <c r="G16" s="55" t="str">
        <f t="shared" si="0"/>
        <v/>
      </c>
      <c r="H16" s="87"/>
      <c r="I16" s="88"/>
    </row>
    <row r="17" spans="1:9" ht="17.25" thickTop="1" thickBot="1">
      <c r="A17" s="85"/>
      <c r="B17" s="53">
        <v>12</v>
      </c>
      <c r="C17" s="54">
        <f>IF('After Exam Data Entry'!B17="", "", 'After Exam Data Entry'!B17)</f>
        <v>1</v>
      </c>
      <c r="D17" s="54">
        <f>IF(C17="", "", IF('After Exam Data Entry'!C17="", 0, 'After Exam Data Entry'!C17))</f>
        <v>0</v>
      </c>
      <c r="E17" s="54" t="str">
        <f>IF('MCQ TEST SHEET'!G18="", "", 'MCQ TEST SHEET'!G18)</f>
        <v/>
      </c>
      <c r="F17" s="54" t="str">
        <f>IF('After Exam Data Entry'!D17="", "", 'After Exam Data Entry'!D17)</f>
        <v>A</v>
      </c>
      <c r="G17" s="55" t="str">
        <f t="shared" si="0"/>
        <v/>
      </c>
      <c r="H17" s="87"/>
      <c r="I17" s="88"/>
    </row>
    <row r="18" spans="1:9" ht="17.25" thickTop="1" thickBot="1">
      <c r="A18" s="85"/>
      <c r="B18" s="53">
        <v>13</v>
      </c>
      <c r="C18" s="54">
        <f>IF('After Exam Data Entry'!B18="", "", 'After Exam Data Entry'!B18)</f>
        <v>1</v>
      </c>
      <c r="D18" s="54">
        <f>IF(C18="", "", IF('After Exam Data Entry'!C18="", 0, 'After Exam Data Entry'!C18))</f>
        <v>0</v>
      </c>
      <c r="E18" s="54" t="str">
        <f>IF('MCQ TEST SHEET'!G19="", "", 'MCQ TEST SHEET'!G19)</f>
        <v/>
      </c>
      <c r="F18" s="54" t="str">
        <f>IF('After Exam Data Entry'!D18="", "", 'After Exam Data Entry'!D18)</f>
        <v>B</v>
      </c>
      <c r="G18" s="55" t="str">
        <f t="shared" si="0"/>
        <v/>
      </c>
      <c r="H18" s="87"/>
      <c r="I18" s="88"/>
    </row>
    <row r="19" spans="1:9" ht="17.25" thickTop="1" thickBot="1">
      <c r="A19" s="85"/>
      <c r="B19" s="53">
        <v>14</v>
      </c>
      <c r="C19" s="54">
        <f>IF('After Exam Data Entry'!B19="", "", 'After Exam Data Entry'!B19)</f>
        <v>1</v>
      </c>
      <c r="D19" s="54">
        <f>IF(C19="", "", IF('After Exam Data Entry'!C19="", 0, 'After Exam Data Entry'!C19))</f>
        <v>0</v>
      </c>
      <c r="E19" s="54" t="str">
        <f>IF('MCQ TEST SHEET'!G20="", "", 'MCQ TEST SHEET'!G20)</f>
        <v/>
      </c>
      <c r="F19" s="54" t="str">
        <f>IF('After Exam Data Entry'!D19="", "", 'After Exam Data Entry'!D19)</f>
        <v>C</v>
      </c>
      <c r="G19" s="55" t="str">
        <f t="shared" si="0"/>
        <v/>
      </c>
      <c r="H19" s="87"/>
      <c r="I19" s="88"/>
    </row>
    <row r="20" spans="1:9" ht="17.25" thickTop="1" thickBot="1">
      <c r="A20" s="85"/>
      <c r="B20" s="53">
        <v>15</v>
      </c>
      <c r="C20" s="54">
        <f>IF('After Exam Data Entry'!B20="", "", 'After Exam Data Entry'!B20)</f>
        <v>1</v>
      </c>
      <c r="D20" s="54">
        <f>IF(C20="", "", IF('After Exam Data Entry'!C20="", 0, 'After Exam Data Entry'!C20))</f>
        <v>0</v>
      </c>
      <c r="E20" s="54" t="str">
        <f>IF('MCQ TEST SHEET'!G21="", "", 'MCQ TEST SHEET'!G21)</f>
        <v/>
      </c>
      <c r="F20" s="54" t="str">
        <f>IF('After Exam Data Entry'!D20="", "", 'After Exam Data Entry'!D20)</f>
        <v>A</v>
      </c>
      <c r="G20" s="55" t="str">
        <f t="shared" si="0"/>
        <v/>
      </c>
      <c r="H20" s="87"/>
      <c r="I20" s="88"/>
    </row>
    <row r="21" spans="1:9" ht="17.25" thickTop="1" thickBot="1">
      <c r="A21" s="85"/>
      <c r="B21" s="53">
        <v>16</v>
      </c>
      <c r="C21" s="54">
        <f>IF('After Exam Data Entry'!B21="", "", 'After Exam Data Entry'!B21)</f>
        <v>1</v>
      </c>
      <c r="D21" s="54">
        <f>IF(C21="", "", IF('After Exam Data Entry'!C21="", 0, 'After Exam Data Entry'!C21))</f>
        <v>0</v>
      </c>
      <c r="E21" s="54" t="str">
        <f>IF('MCQ TEST SHEET'!G22="", "", 'MCQ TEST SHEET'!G22)</f>
        <v/>
      </c>
      <c r="F21" s="54" t="str">
        <f>IF('After Exam Data Entry'!D21="", "", 'After Exam Data Entry'!D21)</f>
        <v>B</v>
      </c>
      <c r="G21" s="55" t="str">
        <f t="shared" si="0"/>
        <v/>
      </c>
      <c r="H21" s="87"/>
      <c r="I21" s="88"/>
    </row>
    <row r="22" spans="1:9" ht="17.25" thickTop="1" thickBot="1">
      <c r="A22" s="85"/>
      <c r="B22" s="53">
        <v>17</v>
      </c>
      <c r="C22" s="54">
        <f>IF('After Exam Data Entry'!B22="", "", 'After Exam Data Entry'!B22)</f>
        <v>1</v>
      </c>
      <c r="D22" s="54">
        <f>IF(C22="", "", IF('After Exam Data Entry'!C22="", 0, 'After Exam Data Entry'!C22))</f>
        <v>0</v>
      </c>
      <c r="E22" s="54" t="str">
        <f>IF('MCQ TEST SHEET'!G23="", "", 'MCQ TEST SHEET'!G23)</f>
        <v/>
      </c>
      <c r="F22" s="54" t="str">
        <f>IF('After Exam Data Entry'!D22="", "", 'After Exam Data Entry'!D22)</f>
        <v>A</v>
      </c>
      <c r="G22" s="55" t="str">
        <f t="shared" si="0"/>
        <v/>
      </c>
      <c r="H22" s="87"/>
      <c r="I22" s="88"/>
    </row>
    <row r="23" spans="1:9" ht="17.25" thickTop="1" thickBot="1">
      <c r="A23" s="85"/>
      <c r="B23" s="53">
        <v>18</v>
      </c>
      <c r="C23" s="54">
        <f>IF('After Exam Data Entry'!B23="", "", 'After Exam Data Entry'!B23)</f>
        <v>1</v>
      </c>
      <c r="D23" s="54">
        <f>IF(C23="", "", IF('After Exam Data Entry'!C23="", 0, 'After Exam Data Entry'!C23))</f>
        <v>0</v>
      </c>
      <c r="E23" s="54" t="str">
        <f>IF('MCQ TEST SHEET'!G24="", "", 'MCQ TEST SHEET'!G24)</f>
        <v/>
      </c>
      <c r="F23" s="54" t="str">
        <f>IF('After Exam Data Entry'!D23="", "", 'After Exam Data Entry'!D23)</f>
        <v>C</v>
      </c>
      <c r="G23" s="55" t="str">
        <f t="shared" si="0"/>
        <v/>
      </c>
      <c r="H23" s="87"/>
      <c r="I23" s="88"/>
    </row>
    <row r="24" spans="1:9" ht="17.25" thickTop="1" thickBot="1">
      <c r="A24" s="85"/>
      <c r="B24" s="53">
        <v>19</v>
      </c>
      <c r="C24" s="54">
        <f>IF('After Exam Data Entry'!B24="", "", 'After Exam Data Entry'!B24)</f>
        <v>1</v>
      </c>
      <c r="D24" s="54">
        <f>IF(C24="", "", IF('After Exam Data Entry'!C24="", 0, 'After Exam Data Entry'!C24))</f>
        <v>0</v>
      </c>
      <c r="E24" s="54" t="str">
        <f>IF('MCQ TEST SHEET'!G25="", "", 'MCQ TEST SHEET'!G25)</f>
        <v/>
      </c>
      <c r="F24" s="54" t="str">
        <f>IF('After Exam Data Entry'!D24="", "", 'After Exam Data Entry'!D24)</f>
        <v>B</v>
      </c>
      <c r="G24" s="55" t="str">
        <f t="shared" si="0"/>
        <v/>
      </c>
      <c r="H24" s="87"/>
      <c r="I24" s="88"/>
    </row>
    <row r="25" spans="1:9" ht="17.25" thickTop="1" thickBot="1">
      <c r="A25" s="85"/>
      <c r="B25" s="53">
        <v>20</v>
      </c>
      <c r="C25" s="54">
        <f>IF('After Exam Data Entry'!B25="", "", 'After Exam Data Entry'!B25)</f>
        <v>1</v>
      </c>
      <c r="D25" s="54">
        <f>IF(C25="", "", IF('After Exam Data Entry'!C25="", 0, 'After Exam Data Entry'!C25))</f>
        <v>0</v>
      </c>
      <c r="E25" s="54" t="str">
        <f>IF('MCQ TEST SHEET'!G26="", "", 'MCQ TEST SHEET'!G26)</f>
        <v/>
      </c>
      <c r="F25" s="54" t="str">
        <f>IF('After Exam Data Entry'!D25="", "", 'After Exam Data Entry'!D25)</f>
        <v>C</v>
      </c>
      <c r="G25" s="55" t="str">
        <f t="shared" si="0"/>
        <v/>
      </c>
      <c r="H25" s="87"/>
      <c r="I25" s="88"/>
    </row>
    <row r="26" spans="1:9" ht="17.25" thickTop="1" thickBot="1">
      <c r="A26" s="85"/>
      <c r="B26" s="53">
        <v>21</v>
      </c>
      <c r="C26" s="54">
        <f>IF('After Exam Data Entry'!B26="", "", 'After Exam Data Entry'!B26)</f>
        <v>1</v>
      </c>
      <c r="D26" s="54">
        <v>0</v>
      </c>
      <c r="E26" s="54" t="str">
        <f>IF('MCQ TEST SHEET'!G27="", "", 'MCQ TEST SHEET'!G27)</f>
        <v/>
      </c>
      <c r="F26" s="54" t="str">
        <f>IF('After Exam Data Entry'!D26="", "", 'After Exam Data Entry'!D26)</f>
        <v>B</v>
      </c>
      <c r="G26" s="55" t="str">
        <f t="shared" si="0"/>
        <v/>
      </c>
      <c r="H26" s="87"/>
      <c r="I26" s="88"/>
    </row>
    <row r="27" spans="1:9" ht="17.25" thickTop="1" thickBot="1">
      <c r="A27" s="85"/>
      <c r="B27" s="53">
        <v>22</v>
      </c>
      <c r="C27" s="54">
        <f>IF('After Exam Data Entry'!B27="", "", 'After Exam Data Entry'!B27)</f>
        <v>1</v>
      </c>
      <c r="D27" s="54">
        <v>0</v>
      </c>
      <c r="E27" s="54" t="str">
        <f>IF('MCQ TEST SHEET'!G28="", "", 'MCQ TEST SHEET'!G28)</f>
        <v/>
      </c>
      <c r="F27" s="54" t="str">
        <f>IF('After Exam Data Entry'!D27="", "", 'After Exam Data Entry'!D27)</f>
        <v>C</v>
      </c>
      <c r="G27" s="55" t="str">
        <f t="shared" si="0"/>
        <v/>
      </c>
      <c r="H27" s="87"/>
      <c r="I27" s="88"/>
    </row>
    <row r="28" spans="1:9" ht="17.25" thickTop="1" thickBot="1">
      <c r="A28" s="85"/>
      <c r="B28" s="53">
        <v>23</v>
      </c>
      <c r="C28" s="54">
        <f>IF('After Exam Data Entry'!B28="", "", 'After Exam Data Entry'!B28)</f>
        <v>1</v>
      </c>
      <c r="D28" s="54">
        <v>0</v>
      </c>
      <c r="E28" s="54" t="str">
        <f>IF('MCQ TEST SHEET'!G29="", "", 'MCQ TEST SHEET'!G29)</f>
        <v/>
      </c>
      <c r="F28" s="54" t="str">
        <f>IF('After Exam Data Entry'!D28="", "", 'After Exam Data Entry'!D28)</f>
        <v>D</v>
      </c>
      <c r="G28" s="55" t="str">
        <f t="shared" si="0"/>
        <v/>
      </c>
      <c r="H28" s="87"/>
      <c r="I28" s="88"/>
    </row>
    <row r="29" spans="1:9" ht="17.25" thickTop="1" thickBot="1">
      <c r="A29" s="85"/>
      <c r="B29" s="53">
        <v>24</v>
      </c>
      <c r="C29" s="54">
        <f>IF('After Exam Data Entry'!B43="", "", 'After Exam Data Entry'!B43)</f>
        <v>1</v>
      </c>
      <c r="D29" s="54">
        <v>0</v>
      </c>
      <c r="E29" s="54" t="str">
        <f>IF('MCQ TEST SHEET'!G30="", "", 'MCQ TEST SHEET'!G30)</f>
        <v/>
      </c>
      <c r="F29" s="54" t="str">
        <f>IF('After Exam Data Entry'!D29="", "", 'After Exam Data Entry'!D29)</f>
        <v>A</v>
      </c>
      <c r="G29" s="55" t="str">
        <f t="shared" ref="G29:G56" si="1">IF(F29="", "", IF(E29="", "", IF(E29=F29, C29, D29)))</f>
        <v/>
      </c>
      <c r="H29" s="87"/>
      <c r="I29" s="88"/>
    </row>
    <row r="30" spans="1:9" ht="17.25" thickTop="1" thickBot="1">
      <c r="A30" s="85"/>
      <c r="B30" s="53">
        <v>25</v>
      </c>
      <c r="C30" s="54">
        <f>IF('After Exam Data Entry'!B44="", "", 'After Exam Data Entry'!B44)</f>
        <v>1</v>
      </c>
      <c r="D30" s="54">
        <v>0</v>
      </c>
      <c r="E30" s="54" t="str">
        <f>IF('MCQ TEST SHEET'!G31="", "", 'MCQ TEST SHEET'!G31)</f>
        <v/>
      </c>
      <c r="F30" s="54" t="str">
        <f>IF('After Exam Data Entry'!D30="", "", 'After Exam Data Entry'!D30)</f>
        <v>D</v>
      </c>
      <c r="G30" s="55" t="str">
        <f t="shared" si="1"/>
        <v/>
      </c>
      <c r="H30" s="87"/>
      <c r="I30" s="88"/>
    </row>
    <row r="31" spans="1:9" ht="17.25" thickTop="1" thickBot="1">
      <c r="A31" s="85"/>
      <c r="B31" s="53">
        <v>26</v>
      </c>
      <c r="C31" s="54">
        <f>IF('After Exam Data Entry'!B45="", "", 'After Exam Data Entry'!B45)</f>
        <v>1</v>
      </c>
      <c r="D31" s="54">
        <v>0</v>
      </c>
      <c r="E31" s="54" t="str">
        <f>IF('MCQ TEST SHEET'!G32="", "", 'MCQ TEST SHEET'!G32)</f>
        <v/>
      </c>
      <c r="F31" s="54" t="str">
        <f>IF('After Exam Data Entry'!D31="", "", 'After Exam Data Entry'!D31)</f>
        <v>A</v>
      </c>
      <c r="G31" s="55" t="str">
        <f t="shared" si="1"/>
        <v/>
      </c>
      <c r="H31" s="87"/>
      <c r="I31" s="88"/>
    </row>
    <row r="32" spans="1:9" ht="17.25" thickTop="1" thickBot="1">
      <c r="A32" s="85"/>
      <c r="B32" s="53">
        <v>27</v>
      </c>
      <c r="C32" s="54">
        <f>IF('After Exam Data Entry'!B46="", "", 'After Exam Data Entry'!B46)</f>
        <v>1</v>
      </c>
      <c r="D32" s="54">
        <v>0</v>
      </c>
      <c r="E32" s="54" t="str">
        <f>IF('MCQ TEST SHEET'!G33="", "", 'MCQ TEST SHEET'!G33)</f>
        <v/>
      </c>
      <c r="F32" s="54" t="str">
        <f>IF('After Exam Data Entry'!D32="", "", 'After Exam Data Entry'!D32)</f>
        <v>C</v>
      </c>
      <c r="G32" s="55" t="str">
        <f t="shared" si="1"/>
        <v/>
      </c>
      <c r="H32" s="87"/>
      <c r="I32" s="88"/>
    </row>
    <row r="33" spans="1:9" ht="17.25" thickTop="1" thickBot="1">
      <c r="A33" s="85"/>
      <c r="B33" s="53">
        <v>28</v>
      </c>
      <c r="C33" s="54">
        <f>IF('After Exam Data Entry'!B47="", "", 'After Exam Data Entry'!B47)</f>
        <v>1</v>
      </c>
      <c r="D33" s="54">
        <v>0</v>
      </c>
      <c r="E33" s="54" t="str">
        <f>IF('MCQ TEST SHEET'!G34="", "", 'MCQ TEST SHEET'!G34)</f>
        <v/>
      </c>
      <c r="F33" s="54" t="str">
        <f>IF('After Exam Data Entry'!D33="", "", 'After Exam Data Entry'!D33)</f>
        <v>A</v>
      </c>
      <c r="G33" s="55" t="str">
        <f t="shared" si="1"/>
        <v/>
      </c>
      <c r="H33" s="87"/>
      <c r="I33" s="88"/>
    </row>
    <row r="34" spans="1:9" ht="17.25" thickTop="1" thickBot="1">
      <c r="A34" s="85"/>
      <c r="B34" s="53">
        <v>29</v>
      </c>
      <c r="C34" s="54">
        <f>IF('After Exam Data Entry'!B48="", "", 'After Exam Data Entry'!B48)</f>
        <v>1</v>
      </c>
      <c r="D34" s="54">
        <v>0</v>
      </c>
      <c r="E34" s="54" t="str">
        <f>IF('MCQ TEST SHEET'!G35="", "", 'MCQ TEST SHEET'!G35)</f>
        <v/>
      </c>
      <c r="F34" s="54" t="str">
        <f>IF('After Exam Data Entry'!D34="", "", 'After Exam Data Entry'!D34)</f>
        <v>A</v>
      </c>
      <c r="G34" s="55" t="str">
        <f t="shared" si="1"/>
        <v/>
      </c>
      <c r="H34" s="87"/>
      <c r="I34" s="88"/>
    </row>
    <row r="35" spans="1:9" ht="17.25" thickTop="1" thickBot="1">
      <c r="A35" s="85"/>
      <c r="B35" s="53">
        <v>30</v>
      </c>
      <c r="C35" s="54">
        <f>IF('After Exam Data Entry'!B49="", "", 'After Exam Data Entry'!B49)</f>
        <v>1</v>
      </c>
      <c r="D35" s="54">
        <v>0</v>
      </c>
      <c r="E35" s="54" t="str">
        <f>IF('MCQ TEST SHEET'!G36="", "", 'MCQ TEST SHEET'!G36)</f>
        <v/>
      </c>
      <c r="F35" s="54" t="str">
        <f>IF('After Exam Data Entry'!D35="", "", 'After Exam Data Entry'!D35)</f>
        <v>A</v>
      </c>
      <c r="G35" s="55" t="str">
        <f t="shared" si="1"/>
        <v/>
      </c>
      <c r="H35" s="87"/>
      <c r="I35" s="88"/>
    </row>
    <row r="36" spans="1:9" ht="17.25" thickTop="1" thickBot="1">
      <c r="A36" s="85"/>
      <c r="B36" s="53">
        <v>31</v>
      </c>
      <c r="C36" s="54">
        <f>IF('After Exam Data Entry'!B50="", "", 'After Exam Data Entry'!B50)</f>
        <v>1</v>
      </c>
      <c r="D36" s="54">
        <v>0</v>
      </c>
      <c r="E36" s="54" t="str">
        <f>IF('MCQ TEST SHEET'!G37="", "", 'MCQ TEST SHEET'!G37)</f>
        <v/>
      </c>
      <c r="F36" s="54" t="str">
        <f>IF('After Exam Data Entry'!D36="", "", 'After Exam Data Entry'!D36)</f>
        <v>C</v>
      </c>
      <c r="G36" s="55" t="str">
        <f t="shared" si="1"/>
        <v/>
      </c>
      <c r="H36" s="87"/>
      <c r="I36" s="88"/>
    </row>
    <row r="37" spans="1:9" ht="17.25" thickTop="1" thickBot="1">
      <c r="A37" s="85"/>
      <c r="B37" s="53">
        <v>32</v>
      </c>
      <c r="C37" s="54">
        <f>IF('After Exam Data Entry'!B51="", "", 'After Exam Data Entry'!B51)</f>
        <v>1</v>
      </c>
      <c r="D37" s="54">
        <v>0</v>
      </c>
      <c r="E37" s="54" t="str">
        <f>IF('MCQ TEST SHEET'!G38="", "", 'MCQ TEST SHEET'!G38)</f>
        <v/>
      </c>
      <c r="F37" s="54" t="str">
        <f>IF('After Exam Data Entry'!D37="", "", 'After Exam Data Entry'!D37)</f>
        <v>B</v>
      </c>
      <c r="G37" s="55" t="str">
        <f t="shared" si="1"/>
        <v/>
      </c>
      <c r="H37" s="87"/>
      <c r="I37" s="88"/>
    </row>
    <row r="38" spans="1:9" ht="17.25" thickTop="1" thickBot="1">
      <c r="A38" s="85"/>
      <c r="B38" s="53">
        <v>33</v>
      </c>
      <c r="C38" s="54">
        <f>IF('After Exam Data Entry'!B52="", "", 'After Exam Data Entry'!B52)</f>
        <v>1</v>
      </c>
      <c r="D38" s="54">
        <v>0</v>
      </c>
      <c r="E38" s="54" t="str">
        <f>IF('MCQ TEST SHEET'!G39="", "", 'MCQ TEST SHEET'!G39)</f>
        <v/>
      </c>
      <c r="F38" s="54" t="str">
        <f>IF('After Exam Data Entry'!D38="", "", 'After Exam Data Entry'!D38)</f>
        <v>B</v>
      </c>
      <c r="G38" s="55" t="str">
        <f t="shared" si="1"/>
        <v/>
      </c>
      <c r="H38" s="87"/>
      <c r="I38" s="88"/>
    </row>
    <row r="39" spans="1:9" ht="17.25" thickTop="1" thickBot="1">
      <c r="A39" s="85"/>
      <c r="B39" s="53">
        <v>34</v>
      </c>
      <c r="C39" s="54">
        <f>IF('After Exam Data Entry'!B53="", "", 'After Exam Data Entry'!B53)</f>
        <v>1</v>
      </c>
      <c r="D39" s="54">
        <v>0</v>
      </c>
      <c r="E39" s="54" t="str">
        <f>IF('MCQ TEST SHEET'!G40="", "", 'MCQ TEST SHEET'!G40)</f>
        <v/>
      </c>
      <c r="F39" s="54" t="str">
        <f>IF('After Exam Data Entry'!D39="", "", 'After Exam Data Entry'!D39)</f>
        <v>D</v>
      </c>
      <c r="G39" s="55" t="str">
        <f t="shared" si="1"/>
        <v/>
      </c>
      <c r="H39" s="87"/>
      <c r="I39" s="88"/>
    </row>
    <row r="40" spans="1:9" ht="17.25" thickTop="1" thickBot="1">
      <c r="A40" s="85"/>
      <c r="B40" s="53">
        <v>35</v>
      </c>
      <c r="C40" s="54">
        <f>IF('After Exam Data Entry'!B54="", "", 'After Exam Data Entry'!B54)</f>
        <v>1</v>
      </c>
      <c r="D40" s="54">
        <v>0</v>
      </c>
      <c r="E40" s="54" t="str">
        <f>IF('MCQ TEST SHEET'!G41="", "", 'MCQ TEST SHEET'!G41)</f>
        <v/>
      </c>
      <c r="F40" s="54" t="str">
        <f>IF('After Exam Data Entry'!D40="", "", 'After Exam Data Entry'!D40)</f>
        <v>B</v>
      </c>
      <c r="G40" s="55" t="str">
        <f t="shared" si="1"/>
        <v/>
      </c>
      <c r="H40" s="87"/>
      <c r="I40" s="88"/>
    </row>
    <row r="41" spans="1:9" ht="17.25" thickTop="1" thickBot="1">
      <c r="A41" s="85"/>
      <c r="B41" s="53">
        <v>36</v>
      </c>
      <c r="C41" s="54">
        <f>IF('After Exam Data Entry'!B55="", "", 'After Exam Data Entry'!B55)</f>
        <v>1</v>
      </c>
      <c r="D41" s="54">
        <v>0</v>
      </c>
      <c r="E41" s="54" t="str">
        <f>IF('MCQ TEST SHEET'!G42="", "", 'MCQ TEST SHEET'!G42)</f>
        <v/>
      </c>
      <c r="F41" s="54" t="str">
        <f>IF('After Exam Data Entry'!D41="", "", 'After Exam Data Entry'!D41)</f>
        <v>A</v>
      </c>
      <c r="G41" s="55" t="str">
        <f t="shared" si="1"/>
        <v/>
      </c>
      <c r="H41" s="87"/>
      <c r="I41" s="88"/>
    </row>
    <row r="42" spans="1:9" ht="17.25" thickTop="1" thickBot="1">
      <c r="A42" s="85"/>
      <c r="B42" s="53">
        <v>37</v>
      </c>
      <c r="C42" s="54">
        <f>IF('After Exam Data Entry'!B56="", "", 'After Exam Data Entry'!B56)</f>
        <v>1</v>
      </c>
      <c r="D42" s="54">
        <v>0</v>
      </c>
      <c r="E42" s="54" t="str">
        <f>IF('MCQ TEST SHEET'!G43="", "", 'MCQ TEST SHEET'!G43)</f>
        <v/>
      </c>
      <c r="F42" s="54" t="str">
        <f>IF('After Exam Data Entry'!D42="", "", 'After Exam Data Entry'!D42)</f>
        <v>D</v>
      </c>
      <c r="G42" s="55" t="str">
        <f t="shared" si="1"/>
        <v/>
      </c>
      <c r="H42" s="87"/>
      <c r="I42" s="88"/>
    </row>
    <row r="43" spans="1:9" ht="17.25" thickTop="1" thickBot="1">
      <c r="A43" s="85"/>
      <c r="B43" s="53">
        <v>38</v>
      </c>
      <c r="C43" s="54">
        <f>IF('After Exam Data Entry'!B45="", "", 'After Exam Data Entry'!B45)</f>
        <v>1</v>
      </c>
      <c r="D43" s="54">
        <v>0</v>
      </c>
      <c r="E43" s="54" t="str">
        <f>IF('MCQ TEST SHEET'!G44="", "", 'MCQ TEST SHEET'!G44)</f>
        <v/>
      </c>
      <c r="F43" s="54" t="str">
        <f>IF('After Exam Data Entry'!D43="", "", 'After Exam Data Entry'!D43)</f>
        <v>C</v>
      </c>
      <c r="G43" s="55" t="str">
        <f t="shared" si="1"/>
        <v/>
      </c>
      <c r="H43" s="87"/>
      <c r="I43" s="88"/>
    </row>
    <row r="44" spans="1:9" ht="17.25" thickTop="1" thickBot="1">
      <c r="A44" s="85"/>
      <c r="B44" s="53">
        <v>39</v>
      </c>
      <c r="C44" s="54">
        <f>IF('After Exam Data Entry'!B46="", "", 'After Exam Data Entry'!B46)</f>
        <v>1</v>
      </c>
      <c r="D44" s="54">
        <v>0</v>
      </c>
      <c r="E44" s="54" t="str">
        <f>IF('MCQ TEST SHEET'!G45="", "", 'MCQ TEST SHEET'!G45)</f>
        <v/>
      </c>
      <c r="F44" s="54" t="str">
        <f>IF('After Exam Data Entry'!D44="", "", 'After Exam Data Entry'!D44)</f>
        <v>B</v>
      </c>
      <c r="G44" s="55" t="str">
        <f t="shared" si="1"/>
        <v/>
      </c>
      <c r="H44" s="87"/>
      <c r="I44" s="88"/>
    </row>
    <row r="45" spans="1:9" ht="17.25" thickTop="1" thickBot="1">
      <c r="A45" s="85"/>
      <c r="B45" s="53">
        <v>40</v>
      </c>
      <c r="C45" s="54">
        <f>IF('After Exam Data Entry'!B47="", "", 'After Exam Data Entry'!B47)</f>
        <v>1</v>
      </c>
      <c r="D45" s="54">
        <v>0</v>
      </c>
      <c r="E45" s="54" t="str">
        <f>IF('MCQ TEST SHEET'!G46="", "", 'MCQ TEST SHEET'!G46)</f>
        <v/>
      </c>
      <c r="F45" s="54" t="str">
        <f>IF('After Exam Data Entry'!D45="", "", 'After Exam Data Entry'!D45)</f>
        <v>B</v>
      </c>
      <c r="G45" s="55" t="str">
        <f t="shared" si="1"/>
        <v/>
      </c>
      <c r="H45" s="87"/>
      <c r="I45" s="88"/>
    </row>
    <row r="46" spans="1:9" ht="17.25" thickTop="1" thickBot="1">
      <c r="A46" s="85"/>
      <c r="B46" s="53">
        <v>41</v>
      </c>
      <c r="C46" s="54">
        <f>IF('After Exam Data Entry'!B48="", "", 'After Exam Data Entry'!B48)</f>
        <v>1</v>
      </c>
      <c r="D46" s="54">
        <v>0</v>
      </c>
      <c r="E46" s="54" t="str">
        <f>IF('MCQ TEST SHEET'!G47="", "", 'MCQ TEST SHEET'!G47)</f>
        <v/>
      </c>
      <c r="F46" s="54" t="str">
        <f>IF('After Exam Data Entry'!D46="", "", 'After Exam Data Entry'!D46)</f>
        <v>D</v>
      </c>
      <c r="G46" s="55" t="str">
        <f t="shared" si="1"/>
        <v/>
      </c>
      <c r="H46" s="87"/>
      <c r="I46" s="88"/>
    </row>
    <row r="47" spans="1:9" ht="17.25" thickTop="1" thickBot="1">
      <c r="A47" s="85"/>
      <c r="B47" s="53">
        <v>42</v>
      </c>
      <c r="C47" s="54">
        <f>IF('After Exam Data Entry'!B49="", "", 'After Exam Data Entry'!B49)</f>
        <v>1</v>
      </c>
      <c r="D47" s="54">
        <f>IF(C47="", "", IF('After Exam Data Entry'!C49="", 0, 'After Exam Data Entry'!C49))</f>
        <v>0</v>
      </c>
      <c r="E47" s="54" t="str">
        <f>IF('MCQ TEST SHEET'!G48="", "", 'MCQ TEST SHEET'!G48)</f>
        <v/>
      </c>
      <c r="F47" s="54" t="str">
        <f>IF('After Exam Data Entry'!D47="", "", 'After Exam Data Entry'!D47)</f>
        <v>A</v>
      </c>
      <c r="G47" s="55" t="str">
        <f t="shared" si="1"/>
        <v/>
      </c>
      <c r="H47" s="87"/>
      <c r="I47" s="88"/>
    </row>
    <row r="48" spans="1:9" ht="17.25" thickTop="1" thickBot="1">
      <c r="A48" s="85"/>
      <c r="B48" s="53">
        <v>43</v>
      </c>
      <c r="C48" s="54">
        <f>IF('After Exam Data Entry'!B50="", "", 'After Exam Data Entry'!B50)</f>
        <v>1</v>
      </c>
      <c r="D48" s="54">
        <f>IF(C48="", "", IF('After Exam Data Entry'!C50="", 0, 'After Exam Data Entry'!C50))</f>
        <v>0</v>
      </c>
      <c r="E48" s="54" t="str">
        <f>IF('MCQ TEST SHEET'!G49="", "", 'MCQ TEST SHEET'!G49)</f>
        <v/>
      </c>
      <c r="F48" s="54" t="str">
        <f>IF('After Exam Data Entry'!D48="", "", 'After Exam Data Entry'!D48)</f>
        <v>B</v>
      </c>
      <c r="G48" s="55" t="str">
        <f t="shared" si="1"/>
        <v/>
      </c>
      <c r="H48" s="87"/>
      <c r="I48" s="88"/>
    </row>
    <row r="49" spans="1:9" ht="17.25" thickTop="1" thickBot="1">
      <c r="A49" s="85"/>
      <c r="B49" s="53">
        <v>44</v>
      </c>
      <c r="C49" s="54">
        <f>IF('After Exam Data Entry'!B51="", "", 'After Exam Data Entry'!B51)</f>
        <v>1</v>
      </c>
      <c r="D49" s="54">
        <f>IF(C49="", "", IF('After Exam Data Entry'!C51="", 0, 'After Exam Data Entry'!C51))</f>
        <v>0</v>
      </c>
      <c r="E49" s="54" t="str">
        <f>IF('MCQ TEST SHEET'!G50="", "", 'MCQ TEST SHEET'!G50)</f>
        <v/>
      </c>
      <c r="F49" s="54" t="str">
        <f>IF('After Exam Data Entry'!D49="", "", 'After Exam Data Entry'!D49)</f>
        <v>B</v>
      </c>
      <c r="G49" s="55" t="str">
        <f t="shared" si="1"/>
        <v/>
      </c>
      <c r="H49" s="87"/>
      <c r="I49" s="88"/>
    </row>
    <row r="50" spans="1:9" ht="17.25" thickTop="1" thickBot="1">
      <c r="A50" s="85"/>
      <c r="B50" s="53">
        <v>45</v>
      </c>
      <c r="C50" s="54">
        <f>IF('After Exam Data Entry'!B52="", "", 'After Exam Data Entry'!B52)</f>
        <v>1</v>
      </c>
      <c r="D50" s="54">
        <f>IF(C50="", "", IF('After Exam Data Entry'!C52="", 0, 'After Exam Data Entry'!C52))</f>
        <v>0</v>
      </c>
      <c r="E50" s="54" t="str">
        <f>IF('MCQ TEST SHEET'!G51="", "", 'MCQ TEST SHEET'!G51)</f>
        <v/>
      </c>
      <c r="F50" s="54" t="str">
        <f>IF('After Exam Data Entry'!D50="", "", 'After Exam Data Entry'!D50)</f>
        <v>B</v>
      </c>
      <c r="G50" s="55" t="str">
        <f t="shared" si="1"/>
        <v/>
      </c>
      <c r="H50" s="87"/>
      <c r="I50" s="88"/>
    </row>
    <row r="51" spans="1:9" ht="17.25" thickTop="1" thickBot="1">
      <c r="A51" s="85"/>
      <c r="B51" s="53">
        <v>46</v>
      </c>
      <c r="C51" s="54">
        <f>IF('After Exam Data Entry'!B53="", "", 'After Exam Data Entry'!B53)</f>
        <v>1</v>
      </c>
      <c r="D51" s="54">
        <f>IF(C51="", "", IF('After Exam Data Entry'!C53="", 0, 'After Exam Data Entry'!C53))</f>
        <v>0</v>
      </c>
      <c r="E51" s="54" t="str">
        <f>IF('MCQ TEST SHEET'!G52="", "", 'MCQ TEST SHEET'!G52)</f>
        <v/>
      </c>
      <c r="F51" s="54" t="str">
        <f>IF('After Exam Data Entry'!D51="", "", 'After Exam Data Entry'!D51)</f>
        <v>B</v>
      </c>
      <c r="G51" s="55" t="str">
        <f t="shared" si="1"/>
        <v/>
      </c>
      <c r="H51" s="87"/>
      <c r="I51" s="88"/>
    </row>
    <row r="52" spans="1:9" ht="17.25" thickTop="1" thickBot="1">
      <c r="A52" s="85"/>
      <c r="B52" s="53">
        <v>47</v>
      </c>
      <c r="C52" s="54">
        <f>IF('After Exam Data Entry'!B54="", "", 'After Exam Data Entry'!B54)</f>
        <v>1</v>
      </c>
      <c r="D52" s="54">
        <f>IF(C52="", "", IF('After Exam Data Entry'!C54="", 0, 'After Exam Data Entry'!C54))</f>
        <v>0</v>
      </c>
      <c r="E52" s="54" t="str">
        <f>IF('MCQ TEST SHEET'!G53="", "", 'MCQ TEST SHEET'!G53)</f>
        <v/>
      </c>
      <c r="F52" s="54" t="str">
        <f>IF('After Exam Data Entry'!D52="", "", 'After Exam Data Entry'!D52)</f>
        <v>C</v>
      </c>
      <c r="G52" s="55" t="str">
        <f t="shared" si="1"/>
        <v/>
      </c>
      <c r="H52" s="87"/>
      <c r="I52" s="88"/>
    </row>
    <row r="53" spans="1:9" ht="17.25" thickTop="1" thickBot="1">
      <c r="A53" s="85"/>
      <c r="B53" s="53">
        <v>48</v>
      </c>
      <c r="C53" s="54">
        <f>IF('After Exam Data Entry'!B55="", "", 'After Exam Data Entry'!B55)</f>
        <v>1</v>
      </c>
      <c r="D53" s="54">
        <f>IF(C53="", "", IF('After Exam Data Entry'!C55="", 0, 'After Exam Data Entry'!C55))</f>
        <v>0</v>
      </c>
      <c r="E53" s="54" t="str">
        <f>IF('MCQ TEST SHEET'!G54="", "", 'MCQ TEST SHEET'!G54)</f>
        <v/>
      </c>
      <c r="F53" s="54" t="str">
        <f>IF('After Exam Data Entry'!D53="", "", 'After Exam Data Entry'!D53)</f>
        <v>B</v>
      </c>
      <c r="G53" s="55" t="str">
        <f t="shared" si="1"/>
        <v/>
      </c>
      <c r="H53" s="87"/>
      <c r="I53" s="88"/>
    </row>
    <row r="54" spans="1:9" ht="17.25" thickTop="1" thickBot="1">
      <c r="A54" s="85"/>
      <c r="B54" s="53">
        <v>49</v>
      </c>
      <c r="C54" s="54">
        <f>IF('After Exam Data Entry'!B56="", "", 'After Exam Data Entry'!B56)</f>
        <v>1</v>
      </c>
      <c r="D54" s="54">
        <f>IF(C54="", "", IF('After Exam Data Entry'!C56="", 0, 'After Exam Data Entry'!C56))</f>
        <v>0</v>
      </c>
      <c r="E54" s="54" t="str">
        <f>IF('MCQ TEST SHEET'!G55="", "", 'MCQ TEST SHEET'!G55)</f>
        <v/>
      </c>
      <c r="F54" s="54" t="str">
        <f>IF('After Exam Data Entry'!D54="", "", 'After Exam Data Entry'!D54)</f>
        <v>C</v>
      </c>
      <c r="G54" s="55" t="str">
        <f t="shared" si="1"/>
        <v/>
      </c>
      <c r="H54" s="87"/>
      <c r="I54" s="88"/>
    </row>
    <row r="55" spans="1:9" ht="17.25" thickTop="1" thickBot="1">
      <c r="A55" s="85"/>
      <c r="B55" s="53">
        <v>50</v>
      </c>
      <c r="C55" s="54">
        <f>IF('After Exam Data Entry'!B55="", "", 'After Exam Data Entry'!B55)</f>
        <v>1</v>
      </c>
      <c r="D55" s="54">
        <f>IF(C55="", "", IF('After Exam Data Entry'!C57="", 0, 'After Exam Data Entry'!C57))</f>
        <v>0</v>
      </c>
      <c r="E55" s="54" t="str">
        <f>IF('MCQ TEST SHEET'!G56="", "", 'MCQ TEST SHEET'!G56)</f>
        <v/>
      </c>
      <c r="F55" s="54" t="str">
        <f>IF('After Exam Data Entry'!D55="", "", 'After Exam Data Entry'!D55)</f>
        <v>A</v>
      </c>
      <c r="G55" s="55" t="str">
        <f t="shared" si="1"/>
        <v/>
      </c>
      <c r="H55" s="87"/>
      <c r="I55" s="88"/>
    </row>
    <row r="56" spans="1:9" ht="17.25" thickTop="1" thickBot="1">
      <c r="A56" s="85"/>
      <c r="B56" s="53">
        <v>51</v>
      </c>
      <c r="C56" s="54">
        <f>IF('After Exam Data Entry'!B56="", "", 'After Exam Data Entry'!B56)</f>
        <v>1</v>
      </c>
      <c r="D56" s="54">
        <f>IF(C56="", "", IF('After Exam Data Entry'!C58="", 0, 'After Exam Data Entry'!C58))</f>
        <v>0</v>
      </c>
      <c r="E56" s="54" t="str">
        <f>IF('MCQ TEST SHEET'!G57="", "", 'MCQ TEST SHEET'!G57)</f>
        <v/>
      </c>
      <c r="F56" s="54" t="str">
        <f>IF('After Exam Data Entry'!D56="", "", 'After Exam Data Entry'!D56)</f>
        <v>A</v>
      </c>
      <c r="G56" s="55" t="str">
        <f t="shared" si="1"/>
        <v/>
      </c>
      <c r="H56" s="87"/>
      <c r="I56" s="88"/>
    </row>
    <row r="57" spans="1:9" ht="17.25" hidden="1" thickTop="1" thickBot="1">
      <c r="A57" s="85"/>
      <c r="B57" s="53"/>
      <c r="C57" s="54" t="str">
        <f>IF('After Exam Data Entry'!B59="", "", 'After Exam Data Entry'!B59)</f>
        <v/>
      </c>
      <c r="D57" s="54" t="str">
        <f>IF(C57="", "", IF('After Exam Data Entry'!C59="", 0, 'After Exam Data Entry'!C59))</f>
        <v/>
      </c>
      <c r="E57" s="54" t="str">
        <f>IF('MCQ TEST SHEET'!G46="", "", 'MCQ TEST SHEET'!G46)</f>
        <v/>
      </c>
      <c r="F57" s="54" t="str">
        <f>IF('After Exam Data Entry'!D59="", "", 'After Exam Data Entry'!D59)</f>
        <v/>
      </c>
      <c r="G57" s="55" t="str">
        <f t="shared" si="0"/>
        <v/>
      </c>
      <c r="H57" s="87"/>
      <c r="I57" s="88"/>
    </row>
    <row r="58" spans="1:9" ht="17.25" hidden="1" thickTop="1" thickBot="1">
      <c r="A58" s="85"/>
      <c r="B58" s="53">
        <v>50</v>
      </c>
      <c r="C58" s="54" t="str">
        <f>IF('After Exam Data Entry'!B57="", "", 'After Exam Data Entry'!B57)</f>
        <v/>
      </c>
      <c r="D58" s="54" t="str">
        <f>IF(C58="", "", IF('After Exam Data Entry'!C55="", 0, 'After Exam Data Entry'!C55))</f>
        <v/>
      </c>
      <c r="E58" s="54" t="str">
        <f>IF('MCQ TEST SHEET'!G42="", "", 'MCQ TEST SHEET'!G42)</f>
        <v/>
      </c>
      <c r="F58" s="54" t="str">
        <f>IF('After Exam Data Entry'!D55="", "", 'After Exam Data Entry'!D55)</f>
        <v>A</v>
      </c>
      <c r="G58" s="55" t="str">
        <f t="shared" si="0"/>
        <v/>
      </c>
      <c r="H58" s="87"/>
      <c r="I58" s="88"/>
    </row>
    <row r="59" spans="1:9" ht="17.25" hidden="1" thickTop="1" thickBot="1">
      <c r="A59" s="85"/>
      <c r="B59" s="53">
        <v>51</v>
      </c>
      <c r="C59" s="54" t="str">
        <f>IF('After Exam Data Entry'!B58="", "", 'After Exam Data Entry'!B58)</f>
        <v/>
      </c>
      <c r="D59" s="54" t="str">
        <f>IF(C59="", "", IF('After Exam Data Entry'!C56="", 0, 'After Exam Data Entry'!C56))</f>
        <v/>
      </c>
      <c r="E59" s="54" t="str">
        <f>IF('MCQ TEST SHEET'!G43="", "", 'MCQ TEST SHEET'!G43)</f>
        <v/>
      </c>
      <c r="F59" s="54" t="str">
        <f>IF('After Exam Data Entry'!D56="", "", 'After Exam Data Entry'!D56)</f>
        <v>A</v>
      </c>
      <c r="G59" s="55" t="str">
        <f t="shared" si="0"/>
        <v/>
      </c>
      <c r="H59" s="87"/>
      <c r="I59" s="88"/>
    </row>
    <row r="60" spans="1:9" ht="17.25" hidden="1" thickTop="1" thickBot="1">
      <c r="A60" s="85"/>
      <c r="B60" s="53">
        <v>50</v>
      </c>
      <c r="C60" s="54" t="str">
        <f>IF('After Exam Data Entry'!B59="", "", 'After Exam Data Entry'!B59)</f>
        <v/>
      </c>
      <c r="D60" s="54" t="str">
        <f>IF(C60="", "", IF('After Exam Data Entry'!C57="", 0, 'After Exam Data Entry'!C57))</f>
        <v/>
      </c>
      <c r="E60" s="54" t="str">
        <f>IF('MCQ TEST SHEET'!G44="", "", 'MCQ TEST SHEET'!G44)</f>
        <v/>
      </c>
      <c r="F60" s="54" t="str">
        <f>IF('After Exam Data Entry'!D57="", "", 'After Exam Data Entry'!D57)</f>
        <v/>
      </c>
      <c r="G60" s="55" t="str">
        <f t="shared" si="0"/>
        <v/>
      </c>
      <c r="H60" s="87"/>
      <c r="I60" s="88"/>
    </row>
    <row r="61" spans="1:9" ht="17.25" hidden="1" thickTop="1" thickBot="1">
      <c r="A61" s="85"/>
      <c r="B61" s="53">
        <v>51</v>
      </c>
      <c r="C61" s="54" t="str">
        <f>IF('After Exam Data Entry'!B60="", "", 'After Exam Data Entry'!B60)</f>
        <v/>
      </c>
      <c r="D61" s="54" t="str">
        <f>IF(C61="", "", IF('After Exam Data Entry'!C58="", 0, 'After Exam Data Entry'!C58))</f>
        <v/>
      </c>
      <c r="E61" s="54" t="str">
        <f>IF('MCQ TEST SHEET'!G45="", "", 'MCQ TEST SHEET'!G45)</f>
        <v/>
      </c>
      <c r="F61" s="54" t="str">
        <f>IF('After Exam Data Entry'!D58="", "", 'After Exam Data Entry'!D58)</f>
        <v/>
      </c>
      <c r="G61" s="55" t="str">
        <f t="shared" si="0"/>
        <v/>
      </c>
      <c r="H61" s="87"/>
      <c r="I61" s="88"/>
    </row>
    <row r="62" spans="1:9" ht="17.25" hidden="1" thickTop="1" thickBot="1">
      <c r="A62" s="85"/>
      <c r="B62" s="53">
        <v>52</v>
      </c>
      <c r="C62" s="54" t="str">
        <f>IF('After Exam Data Entry'!B61="", "", 'After Exam Data Entry'!B61)</f>
        <v/>
      </c>
      <c r="D62" s="54" t="str">
        <f>IF(C62="", "", IF('After Exam Data Entry'!C59="", 0, 'After Exam Data Entry'!C59))</f>
        <v/>
      </c>
      <c r="E62" s="54" t="str">
        <f>IF('MCQ TEST SHEET'!G46="", "", 'MCQ TEST SHEET'!G46)</f>
        <v/>
      </c>
      <c r="F62" s="54" t="str">
        <f>IF('After Exam Data Entry'!D59="", "", 'After Exam Data Entry'!D59)</f>
        <v/>
      </c>
      <c r="G62" s="55" t="str">
        <f t="shared" si="0"/>
        <v/>
      </c>
      <c r="H62" s="87"/>
      <c r="I62" s="88"/>
    </row>
    <row r="63" spans="1:9" ht="17.25" hidden="1" thickTop="1" thickBot="1">
      <c r="A63" s="85"/>
      <c r="B63" s="53">
        <v>53</v>
      </c>
      <c r="C63" s="54" t="str">
        <f>IF('After Exam Data Entry'!B62="", "", 'After Exam Data Entry'!B62)</f>
        <v/>
      </c>
      <c r="D63" s="54" t="str">
        <f>IF(C63="", "", IF('After Exam Data Entry'!C60="", 0, 'After Exam Data Entry'!C60))</f>
        <v/>
      </c>
      <c r="E63" s="54" t="str">
        <f>IF('MCQ TEST SHEET'!G47="", "", 'MCQ TEST SHEET'!G47)</f>
        <v/>
      </c>
      <c r="F63" s="54" t="str">
        <f>IF('After Exam Data Entry'!D60="", "", 'After Exam Data Entry'!D60)</f>
        <v/>
      </c>
      <c r="G63" s="55" t="str">
        <f t="shared" si="0"/>
        <v/>
      </c>
      <c r="H63" s="87"/>
      <c r="I63" s="88"/>
    </row>
    <row r="64" spans="1:9" ht="17.25" hidden="1" thickTop="1" thickBot="1">
      <c r="A64" s="85"/>
      <c r="B64" s="53">
        <v>54</v>
      </c>
      <c r="C64" s="54" t="str">
        <f>IF('After Exam Data Entry'!B63="", "", 'After Exam Data Entry'!B63)</f>
        <v/>
      </c>
      <c r="D64" s="54" t="str">
        <f>IF(C64="", "", IF('After Exam Data Entry'!C61="", 0, 'After Exam Data Entry'!C61))</f>
        <v/>
      </c>
      <c r="E64" s="54" t="str">
        <f>IF('MCQ TEST SHEET'!G48="", "", 'MCQ TEST SHEET'!G48)</f>
        <v/>
      </c>
      <c r="F64" s="54" t="str">
        <f>IF('After Exam Data Entry'!D61="", "", 'After Exam Data Entry'!D61)</f>
        <v/>
      </c>
      <c r="G64" s="55" t="str">
        <f t="shared" si="0"/>
        <v/>
      </c>
      <c r="H64" s="87"/>
      <c r="I64" s="88"/>
    </row>
    <row r="65" spans="1:9" ht="17.25" hidden="1" thickTop="1" thickBot="1">
      <c r="A65" s="85"/>
      <c r="B65" s="53">
        <v>55</v>
      </c>
      <c r="C65" s="54" t="str">
        <f>IF('After Exam Data Entry'!B64="", "", 'After Exam Data Entry'!B64)</f>
        <v/>
      </c>
      <c r="D65" s="54" t="str">
        <f>IF(C65="", "", IF('After Exam Data Entry'!C62="", 0, 'After Exam Data Entry'!C62))</f>
        <v/>
      </c>
      <c r="E65" s="54" t="str">
        <f>IF('MCQ TEST SHEET'!G49="", "", 'MCQ TEST SHEET'!G49)</f>
        <v/>
      </c>
      <c r="F65" s="54" t="str">
        <f>IF('After Exam Data Entry'!D62="", "", 'After Exam Data Entry'!D62)</f>
        <v/>
      </c>
      <c r="G65" s="55" t="str">
        <f t="shared" si="0"/>
        <v/>
      </c>
      <c r="H65" s="87"/>
      <c r="I65" s="88"/>
    </row>
    <row r="66" spans="1:9" ht="17.25" hidden="1" thickTop="1" thickBot="1">
      <c r="A66" s="85"/>
      <c r="B66" s="53">
        <v>56</v>
      </c>
      <c r="C66" s="54" t="str">
        <f>IF('After Exam Data Entry'!B65="", "", 'After Exam Data Entry'!B65)</f>
        <v/>
      </c>
      <c r="D66" s="54" t="str">
        <f>IF(C66="", "", IF('After Exam Data Entry'!C63="", 0, 'After Exam Data Entry'!C63))</f>
        <v/>
      </c>
      <c r="E66" s="54" t="str">
        <f>IF('MCQ TEST SHEET'!G50="", "", 'MCQ TEST SHEET'!G50)</f>
        <v/>
      </c>
      <c r="F66" s="54" t="str">
        <f>IF('After Exam Data Entry'!D63="", "", 'After Exam Data Entry'!D63)</f>
        <v/>
      </c>
      <c r="G66" s="55" t="str">
        <f t="shared" si="0"/>
        <v/>
      </c>
      <c r="H66" s="87"/>
      <c r="I66" s="88"/>
    </row>
    <row r="67" spans="1:9" ht="17.25" hidden="1" thickTop="1" thickBot="1">
      <c r="A67" s="85"/>
      <c r="B67" s="53">
        <v>57</v>
      </c>
      <c r="C67" s="54" t="str">
        <f>IF('After Exam Data Entry'!B66="", "", 'After Exam Data Entry'!B66)</f>
        <v/>
      </c>
      <c r="D67" s="54" t="str">
        <f>IF(C67="", "", IF('After Exam Data Entry'!C64="", 0, 'After Exam Data Entry'!C64))</f>
        <v/>
      </c>
      <c r="E67" s="54" t="str">
        <f>IF('MCQ TEST SHEET'!G51="", "", 'MCQ TEST SHEET'!G51)</f>
        <v/>
      </c>
      <c r="F67" s="54" t="str">
        <f>IF('After Exam Data Entry'!D64="", "", 'After Exam Data Entry'!D64)</f>
        <v/>
      </c>
      <c r="G67" s="55" t="str">
        <f t="shared" si="0"/>
        <v/>
      </c>
      <c r="H67" s="87"/>
      <c r="I67" s="88"/>
    </row>
    <row r="68" spans="1:9" ht="17.25" hidden="1" thickTop="1" thickBot="1">
      <c r="A68" s="85"/>
      <c r="B68" s="53">
        <v>58</v>
      </c>
      <c r="C68" s="54" t="str">
        <f>IF('After Exam Data Entry'!B67="", "", 'After Exam Data Entry'!B67)</f>
        <v/>
      </c>
      <c r="D68" s="54" t="str">
        <f>IF(C68="", "", IF('After Exam Data Entry'!C65="", 0, 'After Exam Data Entry'!C65))</f>
        <v/>
      </c>
      <c r="E68" s="54" t="str">
        <f>IF('MCQ TEST SHEET'!G52="", "", 'MCQ TEST SHEET'!G52)</f>
        <v/>
      </c>
      <c r="F68" s="54" t="str">
        <f>IF('After Exam Data Entry'!D65="", "", 'After Exam Data Entry'!D65)</f>
        <v/>
      </c>
      <c r="G68" s="55" t="str">
        <f t="shared" si="0"/>
        <v/>
      </c>
      <c r="H68" s="87"/>
      <c r="I68" s="88"/>
    </row>
    <row r="69" spans="1:9" ht="17.25" hidden="1" thickTop="1" thickBot="1">
      <c r="A69" s="85"/>
      <c r="B69" s="53">
        <v>59</v>
      </c>
      <c r="C69" s="54" t="str">
        <f>IF('After Exam Data Entry'!B68="", "", 'After Exam Data Entry'!B68)</f>
        <v/>
      </c>
      <c r="D69" s="54" t="str">
        <f>IF(C69="", "", IF('After Exam Data Entry'!C66="", 0, 'After Exam Data Entry'!C66))</f>
        <v/>
      </c>
      <c r="E69" s="54" t="str">
        <f>IF('MCQ TEST SHEET'!G53="", "", 'MCQ TEST SHEET'!G53)</f>
        <v/>
      </c>
      <c r="F69" s="54" t="str">
        <f>IF('After Exam Data Entry'!D66="", "", 'After Exam Data Entry'!D66)</f>
        <v/>
      </c>
      <c r="G69" s="55" t="str">
        <f t="shared" si="0"/>
        <v/>
      </c>
      <c r="H69" s="87"/>
      <c r="I69" s="88"/>
    </row>
    <row r="70" spans="1:9" ht="17.25" hidden="1" thickTop="1" thickBot="1">
      <c r="A70" s="85"/>
      <c r="B70" s="53">
        <v>60</v>
      </c>
      <c r="C70" s="54" t="str">
        <f>IF('After Exam Data Entry'!B69="", "", 'After Exam Data Entry'!B69)</f>
        <v/>
      </c>
      <c r="D70" s="54" t="str">
        <f>IF(C70="", "", IF('After Exam Data Entry'!C67="", 0, 'After Exam Data Entry'!C67))</f>
        <v/>
      </c>
      <c r="E70" s="54" t="str">
        <f>IF('MCQ TEST SHEET'!G54="", "", 'MCQ TEST SHEET'!G54)</f>
        <v/>
      </c>
      <c r="F70" s="54" t="str">
        <f>IF('After Exam Data Entry'!D67="", "", 'After Exam Data Entry'!D67)</f>
        <v/>
      </c>
      <c r="G70" s="55" t="str">
        <f t="shared" ref="G70:G121" si="2">IF(F70="", "", IF(E70="", "", IF(E70=F70, C70, D70)))</f>
        <v/>
      </c>
      <c r="H70" s="87"/>
      <c r="I70" s="88"/>
    </row>
    <row r="71" spans="1:9" ht="17.25" hidden="1" thickTop="1" thickBot="1">
      <c r="A71" s="85"/>
      <c r="B71" s="53">
        <v>61</v>
      </c>
      <c r="C71" s="54" t="str">
        <f>IF('After Exam Data Entry'!B70="", "", 'After Exam Data Entry'!B70)</f>
        <v/>
      </c>
      <c r="D71" s="54" t="str">
        <f>IF(C71="", "", IF('After Exam Data Entry'!C68="", 0, 'After Exam Data Entry'!C68))</f>
        <v/>
      </c>
      <c r="E71" s="54" t="str">
        <f>IF('MCQ TEST SHEET'!G55="", "", 'MCQ TEST SHEET'!G55)</f>
        <v/>
      </c>
      <c r="F71" s="54" t="str">
        <f>IF('After Exam Data Entry'!D68="", "", 'After Exam Data Entry'!D68)</f>
        <v/>
      </c>
      <c r="G71" s="55" t="str">
        <f t="shared" si="2"/>
        <v/>
      </c>
      <c r="H71" s="87"/>
      <c r="I71" s="88"/>
    </row>
    <row r="72" spans="1:9" ht="17.25" hidden="1" thickTop="1" thickBot="1">
      <c r="A72" s="85"/>
      <c r="B72" s="53">
        <v>62</v>
      </c>
      <c r="C72" s="54" t="str">
        <f>IF('After Exam Data Entry'!B71="", "", 'After Exam Data Entry'!B71)</f>
        <v/>
      </c>
      <c r="D72" s="54" t="str">
        <f>IF(C72="", "", IF('After Exam Data Entry'!C69="", 0, 'After Exam Data Entry'!C69))</f>
        <v/>
      </c>
      <c r="E72" s="54" t="str">
        <f>IF('MCQ TEST SHEET'!G56="", "", 'MCQ TEST SHEET'!G56)</f>
        <v/>
      </c>
      <c r="F72" s="54" t="str">
        <f>IF('After Exam Data Entry'!D69="", "", 'After Exam Data Entry'!D69)</f>
        <v/>
      </c>
      <c r="G72" s="55" t="str">
        <f t="shared" si="2"/>
        <v/>
      </c>
      <c r="H72" s="87"/>
      <c r="I72" s="88"/>
    </row>
    <row r="73" spans="1:9" ht="17.25" hidden="1" thickTop="1" thickBot="1">
      <c r="A73" s="85"/>
      <c r="B73" s="53">
        <v>63</v>
      </c>
      <c r="C73" s="54" t="str">
        <f>IF('After Exam Data Entry'!B72="", "", 'After Exam Data Entry'!B72)</f>
        <v/>
      </c>
      <c r="D73" s="54" t="str">
        <f>IF(C73="", "", IF('After Exam Data Entry'!C70="", 0, 'After Exam Data Entry'!C70))</f>
        <v/>
      </c>
      <c r="E73" s="54" t="str">
        <f>IF('MCQ TEST SHEET'!G57="", "", 'MCQ TEST SHEET'!G57)</f>
        <v/>
      </c>
      <c r="F73" s="54" t="str">
        <f>IF('After Exam Data Entry'!D70="", "", 'After Exam Data Entry'!D70)</f>
        <v/>
      </c>
      <c r="G73" s="55" t="str">
        <f t="shared" si="2"/>
        <v/>
      </c>
      <c r="H73" s="87"/>
      <c r="I73" s="88"/>
    </row>
    <row r="74" spans="1:9" ht="17.25" hidden="1" thickTop="1" thickBot="1">
      <c r="A74" s="85"/>
      <c r="B74" s="53">
        <v>64</v>
      </c>
      <c r="C74" s="54" t="str">
        <f>IF('After Exam Data Entry'!B73="", "", 'After Exam Data Entry'!B73)</f>
        <v/>
      </c>
      <c r="D74" s="54" t="str">
        <f>IF(C74="", "", IF('After Exam Data Entry'!C71="", 0, 'After Exam Data Entry'!C71))</f>
        <v/>
      </c>
      <c r="E74" s="54" t="str">
        <f>IF('MCQ TEST SHEET'!G58="", "", 'MCQ TEST SHEET'!G58)</f>
        <v/>
      </c>
      <c r="F74" s="54" t="str">
        <f>IF('After Exam Data Entry'!D71="", "", 'After Exam Data Entry'!D71)</f>
        <v/>
      </c>
      <c r="G74" s="55" t="str">
        <f t="shared" si="2"/>
        <v/>
      </c>
      <c r="H74" s="87"/>
      <c r="I74" s="88"/>
    </row>
    <row r="75" spans="1:9" ht="17.25" hidden="1" thickTop="1" thickBot="1">
      <c r="A75" s="85"/>
      <c r="B75" s="53">
        <v>65</v>
      </c>
      <c r="C75" s="54" t="str">
        <f>IF('After Exam Data Entry'!B74="", "", 'After Exam Data Entry'!B74)</f>
        <v/>
      </c>
      <c r="D75" s="54" t="str">
        <f>IF(C75="", "", IF('After Exam Data Entry'!C72="", 0, 'After Exam Data Entry'!C72))</f>
        <v/>
      </c>
      <c r="E75" s="54" t="str">
        <f>IF('MCQ TEST SHEET'!G59="", "", 'MCQ TEST SHEET'!G59)</f>
        <v/>
      </c>
      <c r="F75" s="54" t="str">
        <f>IF('After Exam Data Entry'!D72="", "", 'After Exam Data Entry'!D72)</f>
        <v/>
      </c>
      <c r="G75" s="55" t="str">
        <f t="shared" si="2"/>
        <v/>
      </c>
      <c r="H75" s="87"/>
      <c r="I75" s="88"/>
    </row>
    <row r="76" spans="1:9" ht="17.25" hidden="1" thickTop="1" thickBot="1">
      <c r="A76" s="85"/>
      <c r="B76" s="53">
        <v>66</v>
      </c>
      <c r="C76" s="54" t="str">
        <f>IF('After Exam Data Entry'!B75="", "", 'After Exam Data Entry'!B75)</f>
        <v/>
      </c>
      <c r="D76" s="54" t="str">
        <f>IF(C76="", "", IF('After Exam Data Entry'!C73="", 0, 'After Exam Data Entry'!C73))</f>
        <v/>
      </c>
      <c r="E76" s="54" t="str">
        <f>IF('MCQ TEST SHEET'!G60="", "", 'MCQ TEST SHEET'!G60)</f>
        <v/>
      </c>
      <c r="F76" s="54" t="str">
        <f>IF('After Exam Data Entry'!D73="", "", 'After Exam Data Entry'!D73)</f>
        <v/>
      </c>
      <c r="G76" s="55" t="str">
        <f t="shared" si="2"/>
        <v/>
      </c>
      <c r="H76" s="87"/>
      <c r="I76" s="88"/>
    </row>
    <row r="77" spans="1:9" ht="17.25" hidden="1" thickTop="1" thickBot="1">
      <c r="A77" s="85"/>
      <c r="B77" s="53">
        <v>67</v>
      </c>
      <c r="C77" s="54" t="str">
        <f>IF('After Exam Data Entry'!B76="", "", 'After Exam Data Entry'!B76)</f>
        <v/>
      </c>
      <c r="D77" s="54" t="str">
        <f>IF(C77="", "", IF('After Exam Data Entry'!C74="", 0, 'After Exam Data Entry'!C74))</f>
        <v/>
      </c>
      <c r="E77" s="54" t="str">
        <f>IF('MCQ TEST SHEET'!G61="", "", 'MCQ TEST SHEET'!G61)</f>
        <v/>
      </c>
      <c r="F77" s="54" t="str">
        <f>IF('After Exam Data Entry'!D74="", "", 'After Exam Data Entry'!D74)</f>
        <v/>
      </c>
      <c r="G77" s="55" t="str">
        <f t="shared" si="2"/>
        <v/>
      </c>
      <c r="H77" s="87"/>
      <c r="I77" s="88"/>
    </row>
    <row r="78" spans="1:9" ht="17.25" hidden="1" thickTop="1" thickBot="1">
      <c r="A78" s="85"/>
      <c r="B78" s="53">
        <v>68</v>
      </c>
      <c r="C78" s="54" t="str">
        <f>IF('After Exam Data Entry'!B77="", "", 'After Exam Data Entry'!B77)</f>
        <v/>
      </c>
      <c r="D78" s="54" t="str">
        <f>IF(C78="", "", IF('After Exam Data Entry'!C75="", 0, 'After Exam Data Entry'!C75))</f>
        <v/>
      </c>
      <c r="E78" s="54" t="str">
        <f>IF('MCQ TEST SHEET'!G62="", "", 'MCQ TEST SHEET'!G62)</f>
        <v/>
      </c>
      <c r="F78" s="54" t="str">
        <f>IF('After Exam Data Entry'!D75="", "", 'After Exam Data Entry'!D75)</f>
        <v/>
      </c>
      <c r="G78" s="55" t="str">
        <f t="shared" si="2"/>
        <v/>
      </c>
      <c r="H78" s="87"/>
      <c r="I78" s="88"/>
    </row>
    <row r="79" spans="1:9" ht="17.25" hidden="1" thickTop="1" thickBot="1">
      <c r="A79" s="85"/>
      <c r="B79" s="53">
        <v>69</v>
      </c>
      <c r="C79" s="54" t="str">
        <f>IF('After Exam Data Entry'!B78="", "", 'After Exam Data Entry'!B78)</f>
        <v/>
      </c>
      <c r="D79" s="54" t="str">
        <f>IF(C79="", "", IF('After Exam Data Entry'!C76="", 0, 'After Exam Data Entry'!C76))</f>
        <v/>
      </c>
      <c r="E79" s="54" t="str">
        <f>IF('MCQ TEST SHEET'!G63="", "", 'MCQ TEST SHEET'!G63)</f>
        <v/>
      </c>
      <c r="F79" s="54" t="str">
        <f>IF('After Exam Data Entry'!D76="", "", 'After Exam Data Entry'!D76)</f>
        <v/>
      </c>
      <c r="G79" s="55" t="str">
        <f t="shared" si="2"/>
        <v/>
      </c>
      <c r="H79" s="87"/>
      <c r="I79" s="88"/>
    </row>
    <row r="80" spans="1:9" ht="17.25" hidden="1" thickTop="1" thickBot="1">
      <c r="A80" s="85"/>
      <c r="B80" s="53">
        <v>70</v>
      </c>
      <c r="C80" s="54" t="str">
        <f>IF('After Exam Data Entry'!B79="", "", 'After Exam Data Entry'!B79)</f>
        <v/>
      </c>
      <c r="D80" s="54" t="str">
        <f>IF(C80="", "", IF('After Exam Data Entry'!C77="", 0, 'After Exam Data Entry'!C77))</f>
        <v/>
      </c>
      <c r="E80" s="54" t="str">
        <f>IF('MCQ TEST SHEET'!G64="", "", 'MCQ TEST SHEET'!G64)</f>
        <v/>
      </c>
      <c r="F80" s="54" t="str">
        <f>IF('After Exam Data Entry'!D77="", "", 'After Exam Data Entry'!D77)</f>
        <v/>
      </c>
      <c r="G80" s="55" t="str">
        <f t="shared" si="2"/>
        <v/>
      </c>
      <c r="H80" s="87"/>
      <c r="I80" s="88"/>
    </row>
    <row r="81" spans="1:9" ht="17.25" hidden="1" thickTop="1" thickBot="1">
      <c r="A81" s="85"/>
      <c r="B81" s="53">
        <v>71</v>
      </c>
      <c r="C81" s="54" t="str">
        <f>IF('After Exam Data Entry'!B80="", "", 'After Exam Data Entry'!B80)</f>
        <v/>
      </c>
      <c r="D81" s="54" t="str">
        <f>IF(C81="", "", IF('After Exam Data Entry'!C78="", 0, 'After Exam Data Entry'!C78))</f>
        <v/>
      </c>
      <c r="E81" s="54" t="str">
        <f>IF('MCQ TEST SHEET'!G65="", "", 'MCQ TEST SHEET'!G65)</f>
        <v/>
      </c>
      <c r="F81" s="54" t="str">
        <f>IF('After Exam Data Entry'!D78="", "", 'After Exam Data Entry'!D78)</f>
        <v/>
      </c>
      <c r="G81" s="55" t="str">
        <f t="shared" si="2"/>
        <v/>
      </c>
      <c r="H81" s="87"/>
      <c r="I81" s="88"/>
    </row>
    <row r="82" spans="1:9" ht="17.25" hidden="1" thickTop="1" thickBot="1">
      <c r="A82" s="85"/>
      <c r="B82" s="53">
        <v>72</v>
      </c>
      <c r="C82" s="54" t="str">
        <f>IF('After Exam Data Entry'!B81="", "", 'After Exam Data Entry'!B81)</f>
        <v/>
      </c>
      <c r="D82" s="54" t="str">
        <f>IF(C82="", "", IF('After Exam Data Entry'!C79="", 0, 'After Exam Data Entry'!C79))</f>
        <v/>
      </c>
      <c r="E82" s="54" t="str">
        <f>IF('MCQ TEST SHEET'!G66="", "", 'MCQ TEST SHEET'!G66)</f>
        <v/>
      </c>
      <c r="F82" s="54" t="str">
        <f>IF('After Exam Data Entry'!D79="", "", 'After Exam Data Entry'!D79)</f>
        <v/>
      </c>
      <c r="G82" s="55" t="str">
        <f t="shared" si="2"/>
        <v/>
      </c>
      <c r="H82" s="87"/>
      <c r="I82" s="88"/>
    </row>
    <row r="83" spans="1:9" ht="17.25" hidden="1" thickTop="1" thickBot="1">
      <c r="A83" s="85"/>
      <c r="B83" s="53">
        <v>73</v>
      </c>
      <c r="C83" s="54" t="str">
        <f>IF('After Exam Data Entry'!B82="", "", 'After Exam Data Entry'!B82)</f>
        <v/>
      </c>
      <c r="D83" s="54" t="str">
        <f>IF(C83="", "", IF('After Exam Data Entry'!C80="", 0, 'After Exam Data Entry'!C80))</f>
        <v/>
      </c>
      <c r="E83" s="54" t="str">
        <f>IF('MCQ TEST SHEET'!G67="", "", 'MCQ TEST SHEET'!G67)</f>
        <v/>
      </c>
      <c r="F83" s="54" t="str">
        <f>IF('After Exam Data Entry'!D80="", "", 'After Exam Data Entry'!D80)</f>
        <v/>
      </c>
      <c r="G83" s="55" t="str">
        <f t="shared" si="2"/>
        <v/>
      </c>
      <c r="H83" s="87"/>
      <c r="I83" s="88"/>
    </row>
    <row r="84" spans="1:9" ht="17.25" hidden="1" thickTop="1" thickBot="1">
      <c r="A84" s="85"/>
      <c r="B84" s="53">
        <v>74</v>
      </c>
      <c r="C84" s="54" t="str">
        <f>IF('After Exam Data Entry'!B83="", "", 'After Exam Data Entry'!B83)</f>
        <v/>
      </c>
      <c r="D84" s="54" t="str">
        <f>IF(C84="", "", IF('After Exam Data Entry'!C81="", 0, 'After Exam Data Entry'!C81))</f>
        <v/>
      </c>
      <c r="E84" s="54" t="str">
        <f>IF('MCQ TEST SHEET'!G68="", "", 'MCQ TEST SHEET'!G68)</f>
        <v/>
      </c>
      <c r="F84" s="54" t="str">
        <f>IF('After Exam Data Entry'!D81="", "", 'After Exam Data Entry'!D81)</f>
        <v/>
      </c>
      <c r="G84" s="55" t="str">
        <f t="shared" si="2"/>
        <v/>
      </c>
      <c r="H84" s="87"/>
      <c r="I84" s="88"/>
    </row>
    <row r="85" spans="1:9" ht="17.25" hidden="1" thickTop="1" thickBot="1">
      <c r="A85" s="85"/>
      <c r="B85" s="53">
        <v>75</v>
      </c>
      <c r="C85" s="54" t="str">
        <f>IF('After Exam Data Entry'!B84="", "", 'After Exam Data Entry'!B84)</f>
        <v/>
      </c>
      <c r="D85" s="54" t="str">
        <f>IF(C85="", "", IF('After Exam Data Entry'!C82="", 0, 'After Exam Data Entry'!C82))</f>
        <v/>
      </c>
      <c r="E85" s="54" t="str">
        <f>IF('MCQ TEST SHEET'!G69="", "", 'MCQ TEST SHEET'!G69)</f>
        <v/>
      </c>
      <c r="F85" s="54" t="str">
        <f>IF('After Exam Data Entry'!D82="", "", 'After Exam Data Entry'!D82)</f>
        <v/>
      </c>
      <c r="G85" s="55" t="str">
        <f t="shared" si="2"/>
        <v/>
      </c>
      <c r="H85" s="87"/>
      <c r="I85" s="88"/>
    </row>
    <row r="86" spans="1:9" ht="17.25" hidden="1" thickTop="1" thickBot="1">
      <c r="A86" s="85"/>
      <c r="B86" s="53">
        <v>76</v>
      </c>
      <c r="C86" s="54" t="str">
        <f>IF('After Exam Data Entry'!B85="", "", 'After Exam Data Entry'!B85)</f>
        <v/>
      </c>
      <c r="D86" s="54" t="str">
        <f>IF(C86="", "", IF('After Exam Data Entry'!C83="", 0, 'After Exam Data Entry'!C83))</f>
        <v/>
      </c>
      <c r="E86" s="54" t="str">
        <f>IF('MCQ TEST SHEET'!G70="", "", 'MCQ TEST SHEET'!G70)</f>
        <v/>
      </c>
      <c r="F86" s="54" t="str">
        <f>IF('After Exam Data Entry'!D83="", "", 'After Exam Data Entry'!D83)</f>
        <v/>
      </c>
      <c r="G86" s="55" t="str">
        <f t="shared" si="2"/>
        <v/>
      </c>
      <c r="H86" s="87"/>
      <c r="I86" s="88"/>
    </row>
    <row r="87" spans="1:9" ht="17.25" hidden="1" thickTop="1" thickBot="1">
      <c r="A87" s="85"/>
      <c r="B87" s="53">
        <v>77</v>
      </c>
      <c r="C87" s="54" t="str">
        <f>IF('After Exam Data Entry'!B86="", "", 'After Exam Data Entry'!B86)</f>
        <v/>
      </c>
      <c r="D87" s="54" t="str">
        <f>IF(C87="", "", IF('After Exam Data Entry'!C84="", 0, 'After Exam Data Entry'!C84))</f>
        <v/>
      </c>
      <c r="E87" s="54" t="str">
        <f>IF('MCQ TEST SHEET'!G71="", "", 'MCQ TEST SHEET'!G71)</f>
        <v/>
      </c>
      <c r="F87" s="54" t="str">
        <f>IF('After Exam Data Entry'!D84="", "", 'After Exam Data Entry'!D84)</f>
        <v/>
      </c>
      <c r="G87" s="55" t="str">
        <f t="shared" si="2"/>
        <v/>
      </c>
      <c r="H87" s="87"/>
      <c r="I87" s="88"/>
    </row>
    <row r="88" spans="1:9" ht="17.25" hidden="1" thickTop="1" thickBot="1">
      <c r="A88" s="85"/>
      <c r="B88" s="53">
        <v>78</v>
      </c>
      <c r="C88" s="54" t="str">
        <f>IF('After Exam Data Entry'!B87="", "", 'After Exam Data Entry'!B87)</f>
        <v/>
      </c>
      <c r="D88" s="54" t="str">
        <f>IF(C88="", "", IF('After Exam Data Entry'!C85="", 0, 'After Exam Data Entry'!C85))</f>
        <v/>
      </c>
      <c r="E88" s="54" t="str">
        <f>IF('MCQ TEST SHEET'!G72="", "", 'MCQ TEST SHEET'!G72)</f>
        <v/>
      </c>
      <c r="F88" s="54" t="str">
        <f>IF('After Exam Data Entry'!D85="", "", 'After Exam Data Entry'!D85)</f>
        <v/>
      </c>
      <c r="G88" s="55" t="str">
        <f t="shared" si="2"/>
        <v/>
      </c>
      <c r="H88" s="87"/>
      <c r="I88" s="88"/>
    </row>
    <row r="89" spans="1:9" ht="17.25" hidden="1" thickTop="1" thickBot="1">
      <c r="A89" s="85"/>
      <c r="B89" s="53">
        <v>79</v>
      </c>
      <c r="C89" s="54" t="str">
        <f>IF('After Exam Data Entry'!B88="", "", 'After Exam Data Entry'!B88)</f>
        <v/>
      </c>
      <c r="D89" s="54" t="str">
        <f>IF(C89="", "", IF('After Exam Data Entry'!C86="", 0, 'After Exam Data Entry'!C86))</f>
        <v/>
      </c>
      <c r="E89" s="54" t="str">
        <f>IF('MCQ TEST SHEET'!G73="", "", 'MCQ TEST SHEET'!G73)</f>
        <v/>
      </c>
      <c r="F89" s="54" t="str">
        <f>IF('After Exam Data Entry'!D86="", "", 'After Exam Data Entry'!D86)</f>
        <v/>
      </c>
      <c r="G89" s="55" t="str">
        <f t="shared" si="2"/>
        <v/>
      </c>
      <c r="H89" s="87"/>
      <c r="I89" s="88"/>
    </row>
    <row r="90" spans="1:9" ht="17.25" hidden="1" thickTop="1" thickBot="1">
      <c r="A90" s="85"/>
      <c r="B90" s="53">
        <v>80</v>
      </c>
      <c r="C90" s="54" t="str">
        <f>IF('After Exam Data Entry'!B89="", "", 'After Exam Data Entry'!B89)</f>
        <v/>
      </c>
      <c r="D90" s="54" t="str">
        <f>IF(C90="", "", IF('After Exam Data Entry'!C87="", 0, 'After Exam Data Entry'!C87))</f>
        <v/>
      </c>
      <c r="E90" s="54" t="str">
        <f>IF('MCQ TEST SHEET'!G74="", "", 'MCQ TEST SHEET'!G74)</f>
        <v/>
      </c>
      <c r="F90" s="54" t="str">
        <f>IF('After Exam Data Entry'!D87="", "", 'After Exam Data Entry'!D87)</f>
        <v/>
      </c>
      <c r="G90" s="55" t="str">
        <f t="shared" si="2"/>
        <v/>
      </c>
      <c r="H90" s="87"/>
      <c r="I90" s="88"/>
    </row>
    <row r="91" spans="1:9" ht="17.25" hidden="1" thickTop="1" thickBot="1">
      <c r="A91" s="85"/>
      <c r="B91" s="53">
        <v>81</v>
      </c>
      <c r="C91" s="54" t="str">
        <f>IF('After Exam Data Entry'!B90="", "", 'After Exam Data Entry'!B90)</f>
        <v/>
      </c>
      <c r="D91" s="54" t="str">
        <f>IF(C91="", "", IF('After Exam Data Entry'!C88="", 0, 'After Exam Data Entry'!C88))</f>
        <v/>
      </c>
      <c r="E91" s="54" t="str">
        <f>IF('MCQ TEST SHEET'!G75="", "", 'MCQ TEST SHEET'!G75)</f>
        <v/>
      </c>
      <c r="F91" s="54" t="str">
        <f>IF('After Exam Data Entry'!D88="", "", 'After Exam Data Entry'!D88)</f>
        <v/>
      </c>
      <c r="G91" s="55" t="str">
        <f t="shared" si="2"/>
        <v/>
      </c>
      <c r="H91" s="87"/>
      <c r="I91" s="88"/>
    </row>
    <row r="92" spans="1:9" ht="17.25" hidden="1" thickTop="1" thickBot="1">
      <c r="A92" s="85"/>
      <c r="B92" s="53">
        <v>82</v>
      </c>
      <c r="C92" s="54" t="str">
        <f>IF('After Exam Data Entry'!B91="", "", 'After Exam Data Entry'!B91)</f>
        <v/>
      </c>
      <c r="D92" s="54" t="str">
        <f>IF(C92="", "", IF('After Exam Data Entry'!C89="", 0, 'After Exam Data Entry'!C89))</f>
        <v/>
      </c>
      <c r="E92" s="54" t="str">
        <f>IF('MCQ TEST SHEET'!G76="", "", 'MCQ TEST SHEET'!G76)</f>
        <v/>
      </c>
      <c r="F92" s="54" t="str">
        <f>IF('After Exam Data Entry'!D89="", "", 'After Exam Data Entry'!D89)</f>
        <v/>
      </c>
      <c r="G92" s="55" t="str">
        <f t="shared" si="2"/>
        <v/>
      </c>
      <c r="H92" s="87"/>
      <c r="I92" s="88"/>
    </row>
    <row r="93" spans="1:9" ht="17.25" hidden="1" thickTop="1" thickBot="1">
      <c r="A93" s="85"/>
      <c r="B93" s="53">
        <v>83</v>
      </c>
      <c r="C93" s="54" t="str">
        <f>IF('After Exam Data Entry'!B92="", "", 'After Exam Data Entry'!B92)</f>
        <v/>
      </c>
      <c r="D93" s="54" t="str">
        <f>IF(C93="", "", IF('After Exam Data Entry'!C90="", 0, 'After Exam Data Entry'!C90))</f>
        <v/>
      </c>
      <c r="E93" s="54" t="str">
        <f>IF('MCQ TEST SHEET'!G77="", "", 'MCQ TEST SHEET'!G77)</f>
        <v/>
      </c>
      <c r="F93" s="54" t="str">
        <f>IF('After Exam Data Entry'!D90="", "", 'After Exam Data Entry'!D90)</f>
        <v/>
      </c>
      <c r="G93" s="55" t="str">
        <f t="shared" si="2"/>
        <v/>
      </c>
      <c r="H93" s="87"/>
      <c r="I93" s="88"/>
    </row>
    <row r="94" spans="1:9" ht="17.25" hidden="1" thickTop="1" thickBot="1">
      <c r="A94" s="85"/>
      <c r="B94" s="53">
        <v>84</v>
      </c>
      <c r="C94" s="54" t="str">
        <f>IF('After Exam Data Entry'!B93="", "", 'After Exam Data Entry'!B93)</f>
        <v/>
      </c>
      <c r="D94" s="54" t="str">
        <f>IF(C94="", "", IF('After Exam Data Entry'!C91="", 0, 'After Exam Data Entry'!C91))</f>
        <v/>
      </c>
      <c r="E94" s="54" t="str">
        <f>IF('MCQ TEST SHEET'!G78="", "", 'MCQ TEST SHEET'!G78)</f>
        <v/>
      </c>
      <c r="F94" s="54" t="str">
        <f>IF('After Exam Data Entry'!D91="", "", 'After Exam Data Entry'!D91)</f>
        <v/>
      </c>
      <c r="G94" s="55" t="str">
        <f t="shared" si="2"/>
        <v/>
      </c>
      <c r="H94" s="87"/>
      <c r="I94" s="88"/>
    </row>
    <row r="95" spans="1:9" ht="17.25" hidden="1" thickTop="1" thickBot="1">
      <c r="A95" s="85"/>
      <c r="B95" s="53">
        <v>85</v>
      </c>
      <c r="C95" s="54" t="str">
        <f>IF('After Exam Data Entry'!B94="", "", 'After Exam Data Entry'!B94)</f>
        <v/>
      </c>
      <c r="D95" s="54" t="str">
        <f>IF(C95="", "", IF('After Exam Data Entry'!C92="", 0, 'After Exam Data Entry'!C92))</f>
        <v/>
      </c>
      <c r="E95" s="54" t="str">
        <f>IF('MCQ TEST SHEET'!G79="", "", 'MCQ TEST SHEET'!G79)</f>
        <v/>
      </c>
      <c r="F95" s="54" t="str">
        <f>IF('After Exam Data Entry'!D92="", "", 'After Exam Data Entry'!D92)</f>
        <v/>
      </c>
      <c r="G95" s="55" t="str">
        <f t="shared" si="2"/>
        <v/>
      </c>
      <c r="H95" s="87"/>
      <c r="I95" s="88"/>
    </row>
    <row r="96" spans="1:9" ht="17.25" hidden="1" thickTop="1" thickBot="1">
      <c r="A96" s="85"/>
      <c r="B96" s="53">
        <v>86</v>
      </c>
      <c r="C96" s="54" t="str">
        <f>IF('After Exam Data Entry'!B95="", "", 'After Exam Data Entry'!B95)</f>
        <v/>
      </c>
      <c r="D96" s="54" t="str">
        <f>IF(C96="", "", IF('After Exam Data Entry'!C93="", 0, 'After Exam Data Entry'!C93))</f>
        <v/>
      </c>
      <c r="E96" s="54" t="str">
        <f>IF('MCQ TEST SHEET'!G80="", "", 'MCQ TEST SHEET'!G80)</f>
        <v/>
      </c>
      <c r="F96" s="54" t="str">
        <f>IF('After Exam Data Entry'!D93="", "", 'After Exam Data Entry'!D93)</f>
        <v/>
      </c>
      <c r="G96" s="55" t="str">
        <f t="shared" si="2"/>
        <v/>
      </c>
      <c r="H96" s="87"/>
      <c r="I96" s="88"/>
    </row>
    <row r="97" spans="1:9" ht="17.25" hidden="1" thickTop="1" thickBot="1">
      <c r="A97" s="85"/>
      <c r="B97" s="53">
        <v>87</v>
      </c>
      <c r="C97" s="54" t="str">
        <f>IF('After Exam Data Entry'!B96="", "", 'After Exam Data Entry'!B96)</f>
        <v/>
      </c>
      <c r="D97" s="54" t="str">
        <f>IF(C97="", "", IF('After Exam Data Entry'!C94="", 0, 'After Exam Data Entry'!C94))</f>
        <v/>
      </c>
      <c r="E97" s="54" t="str">
        <f>IF('MCQ TEST SHEET'!G81="", "", 'MCQ TEST SHEET'!G81)</f>
        <v/>
      </c>
      <c r="F97" s="54" t="str">
        <f>IF('After Exam Data Entry'!D94="", "", 'After Exam Data Entry'!D94)</f>
        <v/>
      </c>
      <c r="G97" s="55" t="str">
        <f t="shared" si="2"/>
        <v/>
      </c>
      <c r="H97" s="87"/>
      <c r="I97" s="88"/>
    </row>
    <row r="98" spans="1:9" ht="17.25" hidden="1" thickTop="1" thickBot="1">
      <c r="A98" s="85"/>
      <c r="B98" s="53">
        <v>88</v>
      </c>
      <c r="C98" s="54" t="str">
        <f>IF('After Exam Data Entry'!B97="", "", 'After Exam Data Entry'!B97)</f>
        <v/>
      </c>
      <c r="D98" s="54" t="str">
        <f>IF(C98="", "", IF('After Exam Data Entry'!C95="", 0, 'After Exam Data Entry'!C95))</f>
        <v/>
      </c>
      <c r="E98" s="54" t="str">
        <f>IF('MCQ TEST SHEET'!G82="", "", 'MCQ TEST SHEET'!G82)</f>
        <v/>
      </c>
      <c r="F98" s="54" t="str">
        <f>IF('After Exam Data Entry'!D95="", "", 'After Exam Data Entry'!D95)</f>
        <v/>
      </c>
      <c r="G98" s="55" t="str">
        <f t="shared" si="2"/>
        <v/>
      </c>
      <c r="H98" s="87"/>
      <c r="I98" s="88"/>
    </row>
    <row r="99" spans="1:9" ht="17.25" hidden="1" thickTop="1" thickBot="1">
      <c r="A99" s="85"/>
      <c r="B99" s="53">
        <v>89</v>
      </c>
      <c r="C99" s="54" t="str">
        <f>IF('After Exam Data Entry'!B98="", "", 'After Exam Data Entry'!B98)</f>
        <v/>
      </c>
      <c r="D99" s="54" t="str">
        <f>IF(C99="", "", IF('After Exam Data Entry'!C96="", 0, 'After Exam Data Entry'!C96))</f>
        <v/>
      </c>
      <c r="E99" s="54" t="str">
        <f>IF('MCQ TEST SHEET'!G83="", "", 'MCQ TEST SHEET'!G83)</f>
        <v/>
      </c>
      <c r="F99" s="54" t="str">
        <f>IF('After Exam Data Entry'!D96="", "", 'After Exam Data Entry'!D96)</f>
        <v/>
      </c>
      <c r="G99" s="55" t="str">
        <f t="shared" si="2"/>
        <v/>
      </c>
      <c r="H99" s="87"/>
      <c r="I99" s="88"/>
    </row>
    <row r="100" spans="1:9" ht="17.25" hidden="1" thickTop="1" thickBot="1">
      <c r="A100" s="85"/>
      <c r="B100" s="53">
        <v>90</v>
      </c>
      <c r="C100" s="54" t="str">
        <f>IF('After Exam Data Entry'!B99="", "", 'After Exam Data Entry'!B99)</f>
        <v/>
      </c>
      <c r="D100" s="54" t="str">
        <f>IF(C100="", "", IF('After Exam Data Entry'!C97="", 0, 'After Exam Data Entry'!C97))</f>
        <v/>
      </c>
      <c r="E100" s="54" t="str">
        <f>IF('MCQ TEST SHEET'!G84="", "", 'MCQ TEST SHEET'!G84)</f>
        <v/>
      </c>
      <c r="F100" s="54" t="str">
        <f>IF('After Exam Data Entry'!D97="", "", 'After Exam Data Entry'!D97)</f>
        <v/>
      </c>
      <c r="G100" s="55" t="str">
        <f t="shared" si="2"/>
        <v/>
      </c>
      <c r="H100" s="87"/>
      <c r="I100" s="88"/>
    </row>
    <row r="101" spans="1:9" ht="17.25" hidden="1" thickTop="1" thickBot="1">
      <c r="A101" s="85"/>
      <c r="B101" s="53">
        <v>91</v>
      </c>
      <c r="C101" s="54" t="str">
        <f>IF('After Exam Data Entry'!B100="", "", 'After Exam Data Entry'!B100)</f>
        <v/>
      </c>
      <c r="D101" s="54" t="str">
        <f>IF(C101="", "", IF('After Exam Data Entry'!C98="", 0, 'After Exam Data Entry'!C98))</f>
        <v/>
      </c>
      <c r="E101" s="54" t="str">
        <f>IF('MCQ TEST SHEET'!G85="", "", 'MCQ TEST SHEET'!G85)</f>
        <v/>
      </c>
      <c r="F101" s="54" t="str">
        <f>IF('After Exam Data Entry'!D98="", "", 'After Exam Data Entry'!D98)</f>
        <v/>
      </c>
      <c r="G101" s="55" t="str">
        <f t="shared" si="2"/>
        <v/>
      </c>
      <c r="H101" s="87"/>
      <c r="I101" s="88"/>
    </row>
    <row r="102" spans="1:9" ht="17.25" hidden="1" thickTop="1" thickBot="1">
      <c r="A102" s="85"/>
      <c r="B102" s="53">
        <v>92</v>
      </c>
      <c r="C102" s="54" t="str">
        <f>IF('After Exam Data Entry'!B101="", "", 'After Exam Data Entry'!B101)</f>
        <v/>
      </c>
      <c r="D102" s="54" t="str">
        <f>IF(C102="", "", IF('After Exam Data Entry'!C99="", 0, 'After Exam Data Entry'!C99))</f>
        <v/>
      </c>
      <c r="E102" s="54" t="str">
        <f>IF('MCQ TEST SHEET'!G86="", "", 'MCQ TEST SHEET'!G86)</f>
        <v/>
      </c>
      <c r="F102" s="54" t="str">
        <f>IF('After Exam Data Entry'!D99="", "", 'After Exam Data Entry'!D99)</f>
        <v/>
      </c>
      <c r="G102" s="55" t="str">
        <f t="shared" si="2"/>
        <v/>
      </c>
      <c r="H102" s="87"/>
      <c r="I102" s="88"/>
    </row>
    <row r="103" spans="1:9" ht="17.25" hidden="1" thickTop="1" thickBot="1">
      <c r="A103" s="85"/>
      <c r="B103" s="53">
        <v>93</v>
      </c>
      <c r="C103" s="54" t="str">
        <f>IF('After Exam Data Entry'!B102="", "", 'After Exam Data Entry'!B102)</f>
        <v/>
      </c>
      <c r="D103" s="54" t="str">
        <f>IF(C103="", "", IF('After Exam Data Entry'!C100="", 0, 'After Exam Data Entry'!C100))</f>
        <v/>
      </c>
      <c r="E103" s="54" t="str">
        <f>IF('MCQ TEST SHEET'!G87="", "", 'MCQ TEST SHEET'!G87)</f>
        <v/>
      </c>
      <c r="F103" s="54" t="str">
        <f>IF('After Exam Data Entry'!D100="", "", 'After Exam Data Entry'!D100)</f>
        <v/>
      </c>
      <c r="G103" s="55" t="str">
        <f t="shared" si="2"/>
        <v/>
      </c>
      <c r="H103" s="87"/>
      <c r="I103" s="88"/>
    </row>
    <row r="104" spans="1:9" ht="17.25" hidden="1" thickTop="1" thickBot="1">
      <c r="A104" s="85"/>
      <c r="B104" s="53">
        <v>94</v>
      </c>
      <c r="C104" s="54" t="str">
        <f>IF('After Exam Data Entry'!B103="", "", 'After Exam Data Entry'!B103)</f>
        <v/>
      </c>
      <c r="D104" s="54" t="str">
        <f>IF(C104="", "", IF('After Exam Data Entry'!C101="", 0, 'After Exam Data Entry'!C101))</f>
        <v/>
      </c>
      <c r="E104" s="54" t="str">
        <f>IF('MCQ TEST SHEET'!G88="", "", 'MCQ TEST SHEET'!G88)</f>
        <v/>
      </c>
      <c r="F104" s="54" t="str">
        <f>IF('After Exam Data Entry'!D101="", "", 'After Exam Data Entry'!D101)</f>
        <v/>
      </c>
      <c r="G104" s="55" t="str">
        <f t="shared" si="2"/>
        <v/>
      </c>
      <c r="H104" s="87"/>
      <c r="I104" s="88"/>
    </row>
    <row r="105" spans="1:9" ht="17.25" hidden="1" thickTop="1" thickBot="1">
      <c r="A105" s="85"/>
      <c r="B105" s="53">
        <v>95</v>
      </c>
      <c r="C105" s="54" t="str">
        <f>IF('After Exam Data Entry'!B104="", "", 'After Exam Data Entry'!B104)</f>
        <v/>
      </c>
      <c r="D105" s="54" t="str">
        <f>IF(C105="", "", IF('After Exam Data Entry'!C102="", 0, 'After Exam Data Entry'!C102))</f>
        <v/>
      </c>
      <c r="E105" s="54" t="str">
        <f>IF('MCQ TEST SHEET'!G89="", "", 'MCQ TEST SHEET'!G89)</f>
        <v/>
      </c>
      <c r="F105" s="54" t="str">
        <f>IF('After Exam Data Entry'!D102="", "", 'After Exam Data Entry'!D102)</f>
        <v/>
      </c>
      <c r="G105" s="55" t="str">
        <f t="shared" si="2"/>
        <v/>
      </c>
      <c r="H105" s="87"/>
      <c r="I105" s="88"/>
    </row>
    <row r="106" spans="1:9" ht="17.25" hidden="1" thickTop="1" thickBot="1">
      <c r="A106" s="85"/>
      <c r="B106" s="53">
        <v>96</v>
      </c>
      <c r="C106" s="54" t="str">
        <f>IF('After Exam Data Entry'!B105="", "", 'After Exam Data Entry'!B105)</f>
        <v/>
      </c>
      <c r="D106" s="54" t="str">
        <f>IF(C106="", "", IF('After Exam Data Entry'!C103="", 0, 'After Exam Data Entry'!C103))</f>
        <v/>
      </c>
      <c r="E106" s="54" t="str">
        <f>IF('MCQ TEST SHEET'!G90="", "", 'MCQ TEST SHEET'!G90)</f>
        <v/>
      </c>
      <c r="F106" s="54" t="str">
        <f>IF('After Exam Data Entry'!D103="", "", 'After Exam Data Entry'!D103)</f>
        <v/>
      </c>
      <c r="G106" s="55" t="str">
        <f t="shared" si="2"/>
        <v/>
      </c>
      <c r="H106" s="87"/>
      <c r="I106" s="88"/>
    </row>
    <row r="107" spans="1:9" ht="17.25" hidden="1" thickTop="1" thickBot="1">
      <c r="A107" s="85"/>
      <c r="B107" s="53">
        <v>97</v>
      </c>
      <c r="C107" s="54" t="str">
        <f>IF('After Exam Data Entry'!B106="", "", 'After Exam Data Entry'!B106)</f>
        <v/>
      </c>
      <c r="D107" s="54" t="str">
        <f>IF(C107="", "", IF('After Exam Data Entry'!C104="", 0, 'After Exam Data Entry'!C104))</f>
        <v/>
      </c>
      <c r="E107" s="54" t="str">
        <f>IF('MCQ TEST SHEET'!G91="", "", 'MCQ TEST SHEET'!G91)</f>
        <v/>
      </c>
      <c r="F107" s="54" t="str">
        <f>IF('After Exam Data Entry'!D104="", "", 'After Exam Data Entry'!D104)</f>
        <v/>
      </c>
      <c r="G107" s="55" t="str">
        <f t="shared" si="2"/>
        <v/>
      </c>
      <c r="H107" s="87"/>
      <c r="I107" s="88"/>
    </row>
    <row r="108" spans="1:9" ht="17.25" hidden="1" thickTop="1" thickBot="1">
      <c r="A108" s="85"/>
      <c r="B108" s="53">
        <v>98</v>
      </c>
      <c r="C108" s="54" t="str">
        <f>IF('After Exam Data Entry'!B107="", "", 'After Exam Data Entry'!B107)</f>
        <v/>
      </c>
      <c r="D108" s="54" t="str">
        <f>IF(C108="", "", IF('After Exam Data Entry'!C105="", 0, 'After Exam Data Entry'!C105))</f>
        <v/>
      </c>
      <c r="E108" s="54" t="str">
        <f>IF('MCQ TEST SHEET'!G92="", "", 'MCQ TEST SHEET'!G92)</f>
        <v/>
      </c>
      <c r="F108" s="54" t="str">
        <f>IF('After Exam Data Entry'!D105="", "", 'After Exam Data Entry'!D105)</f>
        <v/>
      </c>
      <c r="G108" s="55" t="str">
        <f t="shared" si="2"/>
        <v/>
      </c>
      <c r="H108" s="87"/>
      <c r="I108" s="88"/>
    </row>
    <row r="109" spans="1:9" ht="17.25" hidden="1" thickTop="1" thickBot="1">
      <c r="A109" s="85"/>
      <c r="B109" s="53">
        <v>99</v>
      </c>
      <c r="C109" s="54" t="str">
        <f>IF('After Exam Data Entry'!B108="", "", 'After Exam Data Entry'!B108)</f>
        <v/>
      </c>
      <c r="D109" s="54" t="str">
        <f>IF(C109="", "", IF('After Exam Data Entry'!C106="", 0, 'After Exam Data Entry'!C106))</f>
        <v/>
      </c>
      <c r="E109" s="54" t="str">
        <f>IF('MCQ TEST SHEET'!G93="", "", 'MCQ TEST SHEET'!G93)</f>
        <v/>
      </c>
      <c r="F109" s="54" t="str">
        <f>IF('After Exam Data Entry'!D106="", "", 'After Exam Data Entry'!D106)</f>
        <v/>
      </c>
      <c r="G109" s="55" t="str">
        <f t="shared" si="2"/>
        <v/>
      </c>
      <c r="H109" s="87"/>
      <c r="I109" s="88"/>
    </row>
    <row r="110" spans="1:9" ht="17.25" hidden="1" thickTop="1" thickBot="1">
      <c r="A110" s="85"/>
      <c r="B110" s="53">
        <v>100</v>
      </c>
      <c r="C110" s="54" t="str">
        <f>IF('After Exam Data Entry'!B109="", "", 'After Exam Data Entry'!B109)</f>
        <v/>
      </c>
      <c r="D110" s="54" t="str">
        <f>IF(C110="", "", IF('After Exam Data Entry'!C107="", 0, 'After Exam Data Entry'!C107))</f>
        <v/>
      </c>
      <c r="E110" s="54" t="str">
        <f>IF('MCQ TEST SHEET'!G94="", "", 'MCQ TEST SHEET'!G94)</f>
        <v/>
      </c>
      <c r="F110" s="54" t="str">
        <f>IF('After Exam Data Entry'!D107="", "", 'After Exam Data Entry'!D107)</f>
        <v/>
      </c>
      <c r="G110" s="55" t="str">
        <f t="shared" si="2"/>
        <v/>
      </c>
      <c r="H110" s="87"/>
      <c r="I110" s="88"/>
    </row>
    <row r="111" spans="1:9" ht="17.25" hidden="1" thickTop="1" thickBot="1">
      <c r="A111" s="85"/>
      <c r="B111" s="53">
        <v>101</v>
      </c>
      <c r="C111" s="54" t="str">
        <f>IF('After Exam Data Entry'!B110="", "", 'After Exam Data Entry'!B110)</f>
        <v/>
      </c>
      <c r="D111" s="54" t="str">
        <f>IF(C111="", "", IF('After Exam Data Entry'!C108="", 0, 'After Exam Data Entry'!C108))</f>
        <v/>
      </c>
      <c r="E111" s="54" t="str">
        <f>IF('MCQ TEST SHEET'!G95="", "", 'MCQ TEST SHEET'!G95)</f>
        <v/>
      </c>
      <c r="F111" s="54" t="str">
        <f>IF('After Exam Data Entry'!D108="", "", 'After Exam Data Entry'!D108)</f>
        <v/>
      </c>
      <c r="G111" s="55" t="str">
        <f t="shared" si="2"/>
        <v/>
      </c>
      <c r="H111" s="87"/>
      <c r="I111" s="88"/>
    </row>
    <row r="112" spans="1:9" ht="17.25" hidden="1" thickTop="1" thickBot="1">
      <c r="A112" s="85"/>
      <c r="B112" s="53">
        <v>102</v>
      </c>
      <c r="C112" s="54" t="str">
        <f>IF('After Exam Data Entry'!B111="", "", 'After Exam Data Entry'!B111)</f>
        <v/>
      </c>
      <c r="D112" s="54" t="str">
        <f>IF(C112="", "", IF('After Exam Data Entry'!C109="", 0, 'After Exam Data Entry'!C109))</f>
        <v/>
      </c>
      <c r="E112" s="54" t="str">
        <f>IF('MCQ TEST SHEET'!G96="", "", 'MCQ TEST SHEET'!G96)</f>
        <v/>
      </c>
      <c r="F112" s="54" t="str">
        <f>IF('After Exam Data Entry'!D109="", "", 'After Exam Data Entry'!D109)</f>
        <v/>
      </c>
      <c r="G112" s="55" t="str">
        <f t="shared" si="2"/>
        <v/>
      </c>
      <c r="H112" s="87"/>
      <c r="I112" s="88"/>
    </row>
    <row r="113" spans="1:10" ht="17.25" hidden="1" thickTop="1" thickBot="1">
      <c r="A113" s="85"/>
      <c r="B113" s="53">
        <v>103</v>
      </c>
      <c r="C113" s="54" t="str">
        <f>IF('After Exam Data Entry'!B112="", "", 'After Exam Data Entry'!B112)</f>
        <v/>
      </c>
      <c r="D113" s="54" t="str">
        <f>IF(C113="", "", IF('After Exam Data Entry'!C110="", 0, 'After Exam Data Entry'!C110))</f>
        <v/>
      </c>
      <c r="E113" s="54" t="str">
        <f>IF('MCQ TEST SHEET'!G97="", "", 'MCQ TEST SHEET'!G97)</f>
        <v/>
      </c>
      <c r="F113" s="54" t="str">
        <f>IF('After Exam Data Entry'!D110="", "", 'After Exam Data Entry'!D110)</f>
        <v/>
      </c>
      <c r="G113" s="55" t="str">
        <f t="shared" si="2"/>
        <v/>
      </c>
      <c r="H113" s="87"/>
      <c r="I113" s="88"/>
    </row>
    <row r="114" spans="1:10" ht="17.25" hidden="1" thickTop="1" thickBot="1">
      <c r="A114" s="85"/>
      <c r="B114" s="53">
        <v>104</v>
      </c>
      <c r="C114" s="54" t="str">
        <f>IF('After Exam Data Entry'!B113="", "", 'After Exam Data Entry'!B113)</f>
        <v/>
      </c>
      <c r="D114" s="54" t="str">
        <f>IF(C114="", "", IF('After Exam Data Entry'!C111="", 0, 'After Exam Data Entry'!C111))</f>
        <v/>
      </c>
      <c r="E114" s="54" t="str">
        <f>IF('MCQ TEST SHEET'!G98="", "", 'MCQ TEST SHEET'!G98)</f>
        <v/>
      </c>
      <c r="F114" s="54" t="str">
        <f>IF('After Exam Data Entry'!D111="", "", 'After Exam Data Entry'!D111)</f>
        <v/>
      </c>
      <c r="G114" s="55" t="str">
        <f t="shared" si="2"/>
        <v/>
      </c>
      <c r="H114" s="87"/>
      <c r="I114" s="88"/>
    </row>
    <row r="115" spans="1:10" ht="17.25" hidden="1" thickTop="1" thickBot="1">
      <c r="A115" s="85"/>
      <c r="B115" s="53">
        <v>105</v>
      </c>
      <c r="C115" s="54" t="str">
        <f>IF('After Exam Data Entry'!B114="", "", 'After Exam Data Entry'!B114)</f>
        <v/>
      </c>
      <c r="D115" s="54" t="str">
        <f>IF(C115="", "", IF('After Exam Data Entry'!C112="", 0, 'After Exam Data Entry'!C112))</f>
        <v/>
      </c>
      <c r="E115" s="54" t="str">
        <f>IF('MCQ TEST SHEET'!G99="", "", 'MCQ TEST SHEET'!G99)</f>
        <v/>
      </c>
      <c r="F115" s="54" t="str">
        <f>IF('After Exam Data Entry'!D112="", "", 'After Exam Data Entry'!D112)</f>
        <v/>
      </c>
      <c r="G115" s="55" t="str">
        <f t="shared" si="2"/>
        <v/>
      </c>
      <c r="H115" s="87"/>
      <c r="I115" s="88"/>
    </row>
    <row r="116" spans="1:10" ht="17.25" hidden="1" thickTop="1" thickBot="1">
      <c r="A116" s="85"/>
      <c r="B116" s="53">
        <v>106</v>
      </c>
      <c r="C116" s="54" t="str">
        <f>IF('After Exam Data Entry'!B115="", "", 'After Exam Data Entry'!B115)</f>
        <v/>
      </c>
      <c r="D116" s="54" t="str">
        <f>IF(C116="", "", IF('After Exam Data Entry'!C113="", 0, 'After Exam Data Entry'!C113))</f>
        <v/>
      </c>
      <c r="E116" s="54" t="str">
        <f>IF('MCQ TEST SHEET'!G100="", "", 'MCQ TEST SHEET'!G100)</f>
        <v/>
      </c>
      <c r="F116" s="54" t="str">
        <f>IF('After Exam Data Entry'!D113="", "", 'After Exam Data Entry'!D113)</f>
        <v/>
      </c>
      <c r="G116" s="55" t="str">
        <f t="shared" si="2"/>
        <v/>
      </c>
      <c r="H116" s="87"/>
      <c r="I116" s="88"/>
    </row>
    <row r="117" spans="1:10" ht="17.25" hidden="1" thickTop="1" thickBot="1">
      <c r="A117" s="85"/>
      <c r="B117" s="53">
        <v>107</v>
      </c>
      <c r="C117" s="54" t="str">
        <f>IF('After Exam Data Entry'!B116="", "", 'After Exam Data Entry'!B116)</f>
        <v/>
      </c>
      <c r="D117" s="54" t="str">
        <f>IF(C117="", "", IF('After Exam Data Entry'!C114="", 0, 'After Exam Data Entry'!C114))</f>
        <v/>
      </c>
      <c r="E117" s="54" t="str">
        <f>IF('MCQ TEST SHEET'!G101="", "", 'MCQ TEST SHEET'!G101)</f>
        <v/>
      </c>
      <c r="F117" s="54" t="str">
        <f>IF('After Exam Data Entry'!D114="", "", 'After Exam Data Entry'!D114)</f>
        <v/>
      </c>
      <c r="G117" s="55" t="str">
        <f t="shared" si="2"/>
        <v/>
      </c>
      <c r="H117" s="87"/>
      <c r="I117" s="88"/>
    </row>
    <row r="118" spans="1:10" ht="17.25" hidden="1" thickTop="1" thickBot="1">
      <c r="A118" s="85"/>
      <c r="B118" s="53">
        <v>108</v>
      </c>
      <c r="C118" s="54" t="str">
        <f>IF('After Exam Data Entry'!B117="", "", 'After Exam Data Entry'!B117)</f>
        <v/>
      </c>
      <c r="D118" s="54" t="str">
        <f>IF(C118="", "", IF('After Exam Data Entry'!C115="", 0, 'After Exam Data Entry'!C115))</f>
        <v/>
      </c>
      <c r="E118" s="54" t="str">
        <f>IF('MCQ TEST SHEET'!G102="", "", 'MCQ TEST SHEET'!G102)</f>
        <v/>
      </c>
      <c r="F118" s="54" t="str">
        <f>IF('After Exam Data Entry'!D115="", "", 'After Exam Data Entry'!D115)</f>
        <v/>
      </c>
      <c r="G118" s="55" t="str">
        <f t="shared" si="2"/>
        <v/>
      </c>
      <c r="H118" s="87"/>
      <c r="I118" s="88"/>
    </row>
    <row r="119" spans="1:10" ht="17.25" hidden="1" thickTop="1" thickBot="1">
      <c r="A119" s="85"/>
      <c r="B119" s="53">
        <v>109</v>
      </c>
      <c r="C119" s="54" t="str">
        <f>IF('After Exam Data Entry'!B118="", "", 'After Exam Data Entry'!B118)</f>
        <v/>
      </c>
      <c r="D119" s="54" t="str">
        <f>IF(C119="", "", IF('After Exam Data Entry'!C116="", 0, 'After Exam Data Entry'!C116))</f>
        <v/>
      </c>
      <c r="E119" s="54" t="str">
        <f>IF('MCQ TEST SHEET'!G103="", "", 'MCQ TEST SHEET'!G103)</f>
        <v/>
      </c>
      <c r="F119" s="54" t="str">
        <f>IF('After Exam Data Entry'!D116="", "", 'After Exam Data Entry'!D116)</f>
        <v/>
      </c>
      <c r="G119" s="55" t="str">
        <f t="shared" si="2"/>
        <v/>
      </c>
      <c r="H119" s="87"/>
      <c r="I119" s="88"/>
    </row>
    <row r="120" spans="1:10" ht="17.25" hidden="1" thickTop="1" thickBot="1">
      <c r="A120" s="85"/>
      <c r="B120" s="53">
        <v>110</v>
      </c>
      <c r="C120" s="54" t="str">
        <f>IF('After Exam Data Entry'!B119="", "", 'After Exam Data Entry'!B119)</f>
        <v/>
      </c>
      <c r="D120" s="54" t="str">
        <f>IF(C120="", "", IF('After Exam Data Entry'!C117="", 0, 'After Exam Data Entry'!C117))</f>
        <v/>
      </c>
      <c r="E120" s="54" t="str">
        <f>IF('MCQ TEST SHEET'!G104="", "", 'MCQ TEST SHEET'!G104)</f>
        <v/>
      </c>
      <c r="F120" s="54" t="str">
        <f>IF('After Exam Data Entry'!D117="", "", 'After Exam Data Entry'!D117)</f>
        <v/>
      </c>
      <c r="G120" s="55" t="str">
        <f t="shared" si="2"/>
        <v/>
      </c>
      <c r="H120" s="87"/>
      <c r="I120" s="88"/>
    </row>
    <row r="121" spans="1:10" ht="17.25" hidden="1" thickTop="1" thickBot="1">
      <c r="A121" s="85"/>
      <c r="B121" s="53">
        <v>111</v>
      </c>
      <c r="C121" s="54" t="str">
        <f>IF('After Exam Data Entry'!B120="", "", 'After Exam Data Entry'!B120)</f>
        <v/>
      </c>
      <c r="D121" s="54" t="str">
        <f>IF(C121="", "", IF('After Exam Data Entry'!C118="", 0, 'After Exam Data Entry'!C118))</f>
        <v/>
      </c>
      <c r="E121" s="54" t="str">
        <f>IF('MCQ TEST SHEET'!G105="", "", 'MCQ TEST SHEET'!G105)</f>
        <v/>
      </c>
      <c r="F121" s="54" t="str">
        <f>IF('After Exam Data Entry'!D118="", "", 'After Exam Data Entry'!D118)</f>
        <v/>
      </c>
      <c r="G121" s="55" t="str">
        <f t="shared" si="2"/>
        <v/>
      </c>
      <c r="H121" s="87"/>
      <c r="I121" s="88"/>
    </row>
    <row r="122" spans="1:10" ht="17.25" hidden="1" thickTop="1" thickBot="1">
      <c r="A122" s="85"/>
      <c r="B122" s="53">
        <v>112</v>
      </c>
      <c r="C122" s="54" t="str">
        <f>IF('After Exam Data Entry'!B121="", "", 'After Exam Data Entry'!B121)</f>
        <v/>
      </c>
      <c r="D122" s="54"/>
      <c r="E122" s="54"/>
      <c r="F122" s="54"/>
      <c r="G122" s="55"/>
      <c r="H122" s="87"/>
      <c r="I122" s="88"/>
    </row>
    <row r="123" spans="1:10" ht="20.45" customHeight="1" thickTop="1" thickBot="1">
      <c r="A123" s="85"/>
      <c r="B123" s="57"/>
      <c r="C123" s="57"/>
      <c r="D123" s="57"/>
      <c r="E123" s="57"/>
      <c r="F123" s="57"/>
      <c r="G123" s="58"/>
      <c r="H123" s="87"/>
      <c r="I123" s="88"/>
    </row>
    <row r="124" spans="1:10" ht="17.25" thickTop="1" thickBot="1">
      <c r="A124" s="85"/>
      <c r="B124" s="59" t="s">
        <v>13</v>
      </c>
      <c r="C124" s="60">
        <f>SUM(C6:C122)</f>
        <v>51</v>
      </c>
      <c r="D124" s="59"/>
      <c r="E124" s="66" t="s">
        <v>11</v>
      </c>
      <c r="F124" s="67"/>
      <c r="G124" s="61">
        <f>SUM(G6:G122)</f>
        <v>0</v>
      </c>
      <c r="H124" s="87"/>
      <c r="I124" s="88"/>
    </row>
    <row r="125" spans="1:10" ht="15" customHeight="1" thickTop="1" thickBot="1">
      <c r="A125" s="85"/>
      <c r="B125" s="59" t="s">
        <v>15</v>
      </c>
      <c r="C125" s="59" t="str">
        <f>IFERROR(IF(C127="", "",IF(C127&lt;33%, "Fail", "Pass")), "")</f>
        <v>Fail</v>
      </c>
      <c r="D125" s="62"/>
      <c r="E125" s="68" t="s">
        <v>16</v>
      </c>
      <c r="F125" s="69"/>
      <c r="G125" s="63">
        <f>IFERROR(IF(G124&lt;0, "", G124/C124), "")</f>
        <v>0</v>
      </c>
      <c r="H125" s="87"/>
      <c r="I125" s="88"/>
      <c r="J125" s="64"/>
    </row>
    <row r="126" spans="1:10" ht="23.45" customHeight="1" thickTop="1" thickBot="1">
      <c r="A126" s="85"/>
      <c r="B126" s="89" t="s">
        <v>17</v>
      </c>
      <c r="C126" s="90"/>
      <c r="D126" s="89" t="str">
        <f>IFERROR(IF(C127="", "", IF(C127&lt;=32%, "Needs Improvement", IF(C127&lt;=50%, "D", IF(C127&lt;=55%, "C", IF(C127&lt;=60%, "B", IF(C127&lt;=70%, "B+", IF(C127&lt;=80%, "A", IF(C127&lt;=90%, "A+", "A++" )))))))), "")</f>
        <v>Needs Improvement</v>
      </c>
      <c r="E126" s="90"/>
      <c r="F126" s="90"/>
      <c r="G126" s="94"/>
      <c r="H126" s="87"/>
      <c r="I126" s="88"/>
    </row>
    <row r="127" spans="1:10" hidden="1">
      <c r="C127" s="65">
        <f>G124/C124</f>
        <v>0</v>
      </c>
    </row>
    <row r="128" spans="1:10" ht="15.75" thickTop="1"/>
  </sheetData>
  <sheetProtection algorithmName="SHA-512" hashValue="OMw0CvwBjHiMoZrMPg8sjB68pzpVXvkuYWcedY67cfOaU8Cb1HrsZbxM2LC84dAEEVHLYAO8v7RfNhB7BNcqrA==" saltValue="EhwJ/qHSIsCVLk/qNa9Uew==" spinCount="100000" sheet="1" selectLockedCells="1" selectUnlockedCells="1"/>
  <mergeCells count="8">
    <mergeCell ref="A1:I1"/>
    <mergeCell ref="H2:I2"/>
    <mergeCell ref="H3:I3"/>
    <mergeCell ref="A4:A126"/>
    <mergeCell ref="H4:I126"/>
    <mergeCell ref="B126:C126"/>
    <mergeCell ref="B4:G4"/>
    <mergeCell ref="D126:G126"/>
  </mergeCells>
  <conditionalFormatting sqref="G6:G122">
    <cfRule type="cellIs" dxfId="1" priority="101" operator="lessThan">
      <formula>1</formula>
    </cfRule>
  </conditionalFormatting>
  <conditionalFormatting sqref="E6:E122">
    <cfRule type="aboveAverage" dxfId="0" priority="104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MCQ TEST SHEET</vt:lpstr>
      <vt:lpstr>After Exam Data Entry</vt:lpstr>
      <vt:lpstr>Marks Sheet</vt:lpstr>
      <vt:lpstr>Options</vt:lpstr>
      <vt:lpstr>'Marks Sheet'!Print_Area</vt:lpstr>
      <vt:lpstr>'MCQ TEST SHEET'!Print_Area</vt:lpstr>
      <vt:lpstr>'Marks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</dc:creator>
  <cp:lastModifiedBy>Ravi Patel</cp:lastModifiedBy>
  <cp:lastPrinted>2019-06-28T12:24:36Z</cp:lastPrinted>
  <dcterms:created xsi:type="dcterms:W3CDTF">2019-06-24T06:48:07Z</dcterms:created>
  <dcterms:modified xsi:type="dcterms:W3CDTF">2023-05-16T02:53:33Z</dcterms:modified>
</cp:coreProperties>
</file>